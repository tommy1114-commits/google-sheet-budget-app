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帳戶名單" sheetId="1" r:id="rId5"/>
    <sheet state="visible" name="預算進度" sheetId="2" r:id="rId6"/>
    <sheet state="visible" name="選單設定" sheetId="3" r:id="rId7"/>
    <sheet state="visible" name="流水帳" sheetId="4" r:id="rId8"/>
    <sheet state="visible" name="月份查詢看板" sheetId="5" r:id="rId9"/>
    <sheet state="visible" name="固定扣款設定" sheetId="6" r:id="rId10"/>
    <sheet state="visible" name="每月金流規劃" sheetId="7" r:id="rId11"/>
  </sheets>
  <definedNames>
    <definedName hidden="1" localSheetId="3" name="_xlnm._FilterDatabase">'流水帳'!$A$1:$I$782</definedName>
    <definedName hidden="1" localSheetId="3" name="Z_0054F018_6198_4D03_906C_648D65FF9EED_.wvu.FilterData">'流水帳'!$A$1:$I$782</definedName>
    <definedName hidden="1" localSheetId="3" name="Z_D0C4ADD9_E0D8_4044_82A2_7F24F4EE207B_.wvu.FilterData">'流水帳'!$A$1:$I$782</definedName>
  </definedNames>
  <calcPr/>
  <customWorkbookViews>
    <customWorkbookView activeSheetId="0" maximized="1" windowHeight="0" windowWidth="0" guid="{0054F018-6198-4D03-906C-648D65FF9EED}" name="依「日期」分組"/>
    <customWorkbookView activeSheetId="0" maximized="1" windowHeight="0" windowWidth="0" guid="{D0C4ADD9-E0D8-4044-82A2-7F24F4EE207B}" name="篩選器 1"/>
  </customWorkbookViews>
</workbook>
</file>

<file path=xl/sharedStrings.xml><?xml version="1.0" encoding="utf-8"?>
<sst xmlns="http://schemas.openxmlformats.org/spreadsheetml/2006/main" count="179" uniqueCount="179">
  <si>
    <t>帳戶名稱</t>
  </si>
  <si>
    <t>初始金額(台幣)</t>
  </si>
  <si>
    <t>目前餘額</t>
  </si>
  <si>
    <t>👛錢包</t>
  </si>
  <si>
    <t>🎫悠遊卡 / ICOCA</t>
  </si>
  <si>
    <t>街口帳戶</t>
  </si>
  <si>
    <t>🏦玉山生活</t>
  </si>
  <si>
    <t>🏦國泰新生活</t>
  </si>
  <si>
    <t>🏦富邦數位帳戶</t>
  </si>
  <si>
    <t>🏦郵局</t>
  </si>
  <si>
    <t>💳國泰cube</t>
  </si>
  <si>
    <t>💳玉山熊熊</t>
  </si>
  <si>
    <t>💳富邦J卡</t>
  </si>
  <si>
    <t>🏦台企銀</t>
  </si>
  <si>
    <t>台幣總資產</t>
  </si>
  <si>
    <t>🏦台灣銀行 (進修基金)</t>
  </si>
  <si>
    <t>🏦永豐大戶</t>
  </si>
  <si>
    <t>✈️專款基金 (出國旅遊)</t>
  </si>
  <si>
    <t>美金總資產</t>
  </si>
  <si>
    <t>換算台幣</t>
  </si>
  <si>
    <t>🏦聯邦NewNewBank</t>
  </si>
  <si>
    <t>🏦國泰台股交割戶</t>
  </si>
  <si>
    <t>📈台股已投入成本</t>
  </si>
  <si>
    <t>現金總資產</t>
  </si>
  <si>
    <t>🏦薪轉帳戶</t>
  </si>
  <si>
    <t>初始金額(美金)</t>
  </si>
  <si>
    <t>保底總資產 (預扣專款基金)</t>
  </si>
  <si>
    <t>股票未實現淨利 (選填)</t>
  </si>
  <si>
    <t>Line Bank 美金</t>
  </si>
  <si>
    <t>國泰美金</t>
  </si>
  <si>
    <t>Firstrade 交割戶</t>
  </si>
  <si>
    <t>全部總資產</t>
  </si>
  <si>
    <t>美股投入成本</t>
  </si>
  <si>
    <t xml:space="preserve">保底總資產存錢目標
說明：
1. 範例：希望一年存 20 萬，每月定期定額存 1.7 萬
2. 可依個人年度理財計畫自由調整下方各月目標（單位：萬）</t>
  </si>
  <si>
    <t>時間</t>
  </si>
  <si>
    <t>資產目標</t>
  </si>
  <si>
    <t>備註</t>
  </si>
  <si>
    <t>2026年1月底</t>
  </si>
  <si>
    <t>2026年2月底</t>
  </si>
  <si>
    <t>範例：可記錄當月獎金或大筆支出備註</t>
  </si>
  <si>
    <t>2026年3月底</t>
  </si>
  <si>
    <t>2026年4月底</t>
  </si>
  <si>
    <t>2026年5月底</t>
  </si>
  <si>
    <t>2026年6月底</t>
  </si>
  <si>
    <t>2026年7月底</t>
  </si>
  <si>
    <t>2026年8月底</t>
  </si>
  <si>
    <t>2026年9月底</t>
  </si>
  <si>
    <t>2026年10月底</t>
  </si>
  <si>
    <t>2026年11月底</t>
  </si>
  <si>
    <t>2026年12月底</t>
  </si>
  <si>
    <t>美金匯率</t>
  </si>
  <si>
    <t>日幣匯率</t>
  </si>
  <si>
    <t>當月一般預算</t>
  </si>
  <si>
    <t>當月一般性支出</t>
  </si>
  <si>
    <t>一般性支出比例</t>
  </si>
  <si>
    <t>剩餘的一般預算</t>
  </si>
  <si>
    <t>當月時間進度</t>
  </si>
  <si>
    <t>今日一般預算</t>
  </si>
  <si>
    <t>當月其他類預算</t>
  </si>
  <si>
    <t>當月其他類支出</t>
  </si>
  <si>
    <t>其他類支出比例</t>
  </si>
  <si>
    <t>剩餘的其他類預算</t>
  </si>
  <si>
    <t>今日其他類預算</t>
  </si>
  <si>
    <t xml:space="preserve">藍色 (#4A90E2)：代表你目前的一般性支出。
灰色 (#E0E0E0)：代表本月時間進度（相對於支出）。</t>
  </si>
  <si>
    <t>橘色 (#F5A623)：代表你目前的其他類支出。</t>
  </si>
  <si>
    <t>預算分類 (A欄)</t>
  </si>
  <si>
    <t>詳細項目 (B欄)</t>
  </si>
  <si>
    <t>一般花費</t>
  </si>
  <si>
    <t>早餐</t>
  </si>
  <si>
    <t>午餐</t>
  </si>
  <si>
    <t>晚餐</t>
  </si>
  <si>
    <t>飲料</t>
  </si>
  <si>
    <t>咖啡</t>
  </si>
  <si>
    <t>水果</t>
  </si>
  <si>
    <t>零食/點心</t>
  </si>
  <si>
    <t>交通</t>
  </si>
  <si>
    <t>醫療</t>
  </si>
  <si>
    <t>日用品</t>
  </si>
  <si>
    <t>房租</t>
  </si>
  <si>
    <t>居家雜貨</t>
  </si>
  <si>
    <t>規費</t>
  </si>
  <si>
    <t>運動健身</t>
  </si>
  <si>
    <t>交友軟體</t>
  </si>
  <si>
    <t>大眾運輸</t>
  </si>
  <si>
    <t>計程車/UBer</t>
  </si>
  <si>
    <t>加油費</t>
  </si>
  <si>
    <t>停車費</t>
  </si>
  <si>
    <t>通行費</t>
  </si>
  <si>
    <t>車輛維修/保養</t>
  </si>
  <si>
    <t>車輛保險/稅金</t>
  </si>
  <si>
    <t>電信費</t>
  </si>
  <si>
    <t>影音串流訂閱</t>
  </si>
  <si>
    <t>美髮/理髮</t>
  </si>
  <si>
    <t>醫療/看診</t>
  </si>
  <si>
    <t>藥品/保健食品</t>
  </si>
  <si>
    <t>書籍/雜誌</t>
  </si>
  <si>
    <t>誤差</t>
  </si>
  <si>
    <t>特支費</t>
  </si>
  <si>
    <t>大餐</t>
  </si>
  <si>
    <t>禮物</t>
  </si>
  <si>
    <t>購物</t>
  </si>
  <si>
    <t>旅遊</t>
  </si>
  <si>
    <t>娛樂</t>
  </si>
  <si>
    <t>學習</t>
  </si>
  <si>
    <t>3C產品</t>
  </si>
  <si>
    <t>其他特支</t>
  </si>
  <si>
    <t>服飾鞋包</t>
  </si>
  <si>
    <t>電影/展覽</t>
  </si>
  <si>
    <t>國內旅遊</t>
  </si>
  <si>
    <t>國外旅遊</t>
  </si>
  <si>
    <t>興趣愛好</t>
  </si>
  <si>
    <t>線上/實體課程</t>
  </si>
  <si>
    <t>檢定/考試費用</t>
  </si>
  <si>
    <t>人身保險</t>
  </si>
  <si>
    <t>代墊費</t>
  </si>
  <si>
    <t>代墊公司費用</t>
  </si>
  <si>
    <t>代墊其他</t>
  </si>
  <si>
    <t>✈️出國旅遊專案</t>
  </si>
  <si>
    <t>日期</t>
  </si>
  <si>
    <t>類別</t>
  </si>
  <si>
    <t>收支</t>
  </si>
  <si>
    <t>項目</t>
  </si>
  <si>
    <t>金額</t>
  </si>
  <si>
    <t>帳戶/路徑</t>
  </si>
  <si>
    <t>H 原始金額 (必加)</t>
  </si>
  <si>
    <t>Column 9</t>
  </si>
  <si>
    <t>收入</t>
  </si>
  <si>
    <t>10月薪資 (範例)</t>
  </si>
  <si>
    <t>TWD 收入</t>
  </si>
  <si>
    <t xml:space="preserve">✈️出國旅遊專案
總支出(台幣)</t>
  </si>
  <si>
    <t>支出</t>
  </si>
  <si>
    <t>(自動) 範例固定扣款</t>
  </si>
  <si>
    <t>轉帳</t>
  </si>
  <si>
    <t>轉出至 👛錢包</t>
  </si>
  <si>
    <t>TWD 轉帳</t>
  </si>
  <si>
    <t>來自 🏦玉山生活 轉入</t>
  </si>
  <si>
    <t>範例一般支出</t>
  </si>
  <si>
    <t>範例特支消費</t>
  </si>
  <si>
    <t>請選擇年份</t>
  </si>
  <si>
    <t>請選擇月份</t>
  </si>
  <si>
    <t>當月總支出</t>
  </si>
  <si>
    <t>當月總收入</t>
  </si>
  <si>
    <t>當日總支出</t>
  </si>
  <si>
    <t>當日總收入</t>
  </si>
  <si>
    <t>A 項目名稱</t>
  </si>
  <si>
    <t>B 類別</t>
  </si>
  <si>
    <t>C 金額</t>
  </si>
  <si>
    <t>D 幣別</t>
  </si>
  <si>
    <t>E 扣款日期 (日)</t>
  </si>
  <si>
    <t>F 帳戶</t>
  </si>
  <si>
    <t>G 備註</t>
  </si>
  <si>
    <t>H 狀態 (啟用/停用)</t>
  </si>
  <si>
    <t>定期保險 (範例)</t>
  </si>
  <si>
    <t>TWD</t>
  </si>
  <si>
    <t>啟用</t>
  </si>
  <si>
    <t>健身房</t>
  </si>
  <si>
    <t>spotify</t>
  </si>
  <si>
    <t>netflix</t>
  </si>
  <si>
    <t>ChatGPT</t>
  </si>
  <si>
    <t>一般支出</t>
  </si>
  <si>
    <t>其他</t>
  </si>
  <si>
    <t>支出總和</t>
  </si>
  <si>
    <t>每月收入總計</t>
  </si>
  <si>
    <t>每月訂閱支出預算</t>
  </si>
  <si>
    <t>每月一般支出預算</t>
  </si>
  <si>
    <t>每年存20萬，每月要存</t>
  </si>
  <si>
    <t>一年出國預算4萬，每月存3300到專款基金</t>
  </si>
  <si>
    <t>薪資</t>
  </si>
  <si>
    <t>醫療保健預備</t>
  </si>
  <si>
    <t>投資配息</t>
  </si>
  <si>
    <t>日常看診/藥品</t>
  </si>
  <si>
    <t>日常伙食</t>
  </si>
  <si>
    <t>理髮/日用</t>
  </si>
  <si>
    <t>雲端/軟體訂閱</t>
  </si>
  <si>
    <t>大眾運輸/悠遊卡</t>
  </si>
  <si>
    <t>孝親費/家用</t>
  </si>
  <si>
    <t>Netflix</t>
  </si>
  <si>
    <t xml:space="preserve">可使用金額(其他類)
=每月收入-每月支出-每月要存</t>
  </si>
  <si>
    <t>其他類預算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</si>
</sst>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NT$-404]#,##0"/>
    <numFmt numFmtId="165" formatCode="yyyy-mm-dd"/>
    <numFmt numFmtId="166" formatCode="[$$]#,##0.00"/>
    <numFmt numFmtId="167" formatCode="yyyy/M/d"/>
    <numFmt numFmtId="168" formatCode="yyyy&quot;年&quot;m&quot;月&quot;d&quot;日 &quot;dddd"/>
  </numFmts>
  <fonts count="2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0000FF"/>
      <name val="Arial"/>
      <scheme val="minor"/>
    </font>
    <font>
      <color theme="1"/>
      <name val="Arial"/>
      <scheme val="minor"/>
    </font>
    <font>
      <color rgb="FF9900FF"/>
      <name val="Arial"/>
      <scheme val="minor"/>
    </font>
    <font>
      <color rgb="FFFF0000"/>
      <name val="Arial"/>
      <scheme val="minor"/>
    </font>
    <font>
      <sz val="11.0"/>
      <color theme="1"/>
      <name val="Carlito"/>
    </font>
    <font>
      <b/>
      <color rgb="FF1F1F1F"/>
      <name val="Google Sans Text"/>
    </font>
    <font>
      <color rgb="FF1F1F1F"/>
      <name val="Google Sans Text"/>
    </font>
    <font>
      <color rgb="FF434343"/>
      <name val="Roboto"/>
    </font>
    <font>
      <color theme="1"/>
      <name val="Arial"/>
    </font>
    <font>
      <color rgb="FF000000"/>
      <name val="Arial"/>
      <scheme val="minor"/>
    </font>
    <font/>
    <font>
      <b/>
      <color theme="1"/>
      <name val="Arial"/>
      <scheme val="minor"/>
    </font>
    <font>
      <b/>
      <sz val="11.0"/>
      <color rgb="FF303030"/>
      <name val="&quot;Google Sans Text&quot;"/>
    </font>
    <font>
      <sz val="11.0"/>
      <color rgb="FF303030"/>
      <name val="&quot;Google Sans Text&quot;"/>
    </font>
    <font>
      <color rgb="FF9900FF"/>
      <name val="Roboto"/>
    </font>
    <font>
      <color rgb="FFFFFFFF"/>
      <name val="Arial"/>
      <scheme val="minor"/>
    </font>
    <font>
      <color theme="0"/>
      <name val="Arial"/>
      <scheme val="minor"/>
    </font>
    <font>
      <color rgb="FF34A853"/>
      <name val="Arial"/>
    </font>
    <font>
      <color rgb="FFFF0000"/>
      <name val="Arial"/>
    </font>
    <font>
      <color rgb="FF9900FF"/>
      <name val="Arial"/>
    </font>
    <font>
      <color rgb="FF0000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</fills>
  <borders count="27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A86E8"/>
      </left>
      <top style="thin">
        <color rgb="FF4A86E8"/>
      </top>
    </border>
    <border>
      <top style="thin">
        <color rgb="FF4A86E8"/>
      </top>
    </border>
    <border>
      <right style="thin">
        <color rgb="FF4A86E8"/>
      </right>
      <top style="thin">
        <color rgb="FF4A86E8"/>
      </top>
    </border>
    <border>
      <left style="thin">
        <color rgb="FF4A86E8"/>
      </left>
      <bottom style="thin">
        <color rgb="FF4A86E8"/>
      </bottom>
    </border>
    <border>
      <bottom style="thin">
        <color rgb="FF4A86E8"/>
      </bottom>
    </border>
    <border>
      <right style="thin">
        <color rgb="FF4A86E8"/>
      </right>
      <bottom style="thin">
        <color rgb="FF4A86E8"/>
      </bottom>
    </border>
    <border>
      <left style="thin">
        <color rgb="FFFF9900"/>
      </left>
      <top style="thin">
        <color rgb="FFFF9900"/>
      </top>
    </border>
    <border>
      <top style="thin">
        <color rgb="FFFF9900"/>
      </top>
    </border>
    <border>
      <right style="thin">
        <color rgb="FFFF9900"/>
      </right>
      <top style="thin">
        <color rgb="FFFF9900"/>
      </top>
    </border>
    <border>
      <left style="thin">
        <color rgb="FFFF9900"/>
      </left>
      <bottom style="thin">
        <color rgb="FFFF9900"/>
      </bottom>
    </border>
    <border>
      <bottom style="thin">
        <color rgb="FFFF9900"/>
      </bottom>
    </border>
    <border>
      <right style="thin">
        <color rgb="FFFF9900"/>
      </right>
      <bottom style="thin">
        <color rgb="FFFF9900"/>
      </bottom>
    </border>
    <border>
      <bottom style="thin">
        <color rgb="FF919191"/>
      </bottom>
    </border>
    <border>
      <bottom style="thin">
        <color rgb="FFDDE1E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Border="1" applyFont="1"/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6" numFmtId="0" xfId="0" applyFont="1"/>
    <xf borderId="0" fillId="0" fontId="4" numFmtId="0" xfId="0" applyFont="1"/>
    <xf borderId="0" fillId="0" fontId="7" numFmtId="0" xfId="0" applyFont="1"/>
    <xf borderId="0" fillId="0" fontId="7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2" fillId="0" fontId="4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 vertical="center"/>
    </xf>
    <xf borderId="0" fillId="2" fontId="4" numFmtId="0" xfId="0" applyAlignment="1" applyFill="1" applyFont="1">
      <alignment readingOrder="0"/>
    </xf>
    <xf borderId="2" fillId="0" fontId="4" numFmtId="0" xfId="0" applyBorder="1" applyFont="1"/>
    <xf borderId="2" fillId="3" fontId="10" numFmtId="0" xfId="0" applyAlignment="1" applyBorder="1" applyFill="1" applyFont="1">
      <alignment horizontal="center" readingOrder="0" shrinkToFit="0" wrapText="0"/>
    </xf>
    <xf borderId="2" fillId="4" fontId="11" numFmtId="1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horizontal="center"/>
    </xf>
    <xf borderId="0" fillId="0" fontId="4" numFmtId="10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2" fillId="4" fontId="11" numFmtId="0" xfId="0" applyBorder="1" applyFill="1" applyFont="1"/>
    <xf borderId="2" fillId="4" fontId="11" numFmtId="14" xfId="0" applyBorder="1" applyFill="1" applyFont="1" applyNumberFormat="1"/>
    <xf borderId="2" fillId="0" fontId="4" numFmtId="1" xfId="0" applyBorder="1" applyFont="1" applyNumberFormat="1"/>
    <xf borderId="0" fillId="0" fontId="4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2" fillId="5" fontId="11" numFmtId="1" xfId="0" applyAlignment="1" applyBorder="1" applyFill="1" applyFont="1" applyNumberFormat="1">
      <alignment horizontal="center" readingOrder="0" vertical="center"/>
    </xf>
    <xf borderId="2" fillId="5" fontId="11" numFmtId="0" xfId="0" applyBorder="1" applyFill="1" applyFont="1"/>
    <xf borderId="2" fillId="5" fontId="11" numFmtId="1" xfId="0" applyBorder="1" applyFill="1" applyFont="1" applyNumberFormat="1"/>
    <xf borderId="0" fillId="2" fontId="12" numFmtId="1" xfId="0" applyAlignment="1" applyFill="1" applyFont="1" applyNumberFormat="1">
      <alignment readingOrder="0"/>
    </xf>
    <xf borderId="0" fillId="5" fontId="1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2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2" fillId="0" fontId="11" numFmtId="0" xfId="0" applyAlignment="1" applyBorder="1" applyFont="1">
      <alignment horizontal="left" readingOrder="0" shrinkToFit="0" vertical="bottom" wrapText="0"/>
    </xf>
    <xf borderId="2" fillId="6" fontId="10" numFmtId="0" xfId="0" applyAlignment="1" applyBorder="1" applyFill="1" applyFont="1">
      <alignment horizontal="center" readingOrder="0" shrinkToFit="0" wrapText="0"/>
    </xf>
    <xf borderId="3" fillId="0" fontId="4" numFmtId="0" xfId="0" applyAlignment="1" applyBorder="1" applyFont="1">
      <alignment readingOrder="0" vertical="center"/>
    </xf>
    <xf borderId="4" fillId="0" fontId="13" numFmtId="0" xfId="0" applyBorder="1" applyFont="1"/>
    <xf borderId="5" fillId="0" fontId="13" numFmtId="0" xfId="0" applyBorder="1" applyFont="1"/>
    <xf borderId="6" fillId="0" fontId="13" numFmtId="0" xfId="0" applyBorder="1" applyFont="1"/>
    <xf borderId="2" fillId="4" fontId="11" numFmtId="1" xfId="0" applyBorder="1" applyFill="1" applyFont="1" applyNumberFormat="1"/>
    <xf borderId="7" fillId="0" fontId="13" numFmtId="0" xfId="0" applyBorder="1" applyFont="1"/>
    <xf borderId="8" fillId="0" fontId="13" numFmtId="0" xfId="0" applyBorder="1" applyFont="1"/>
    <xf borderId="0" fillId="4" fontId="11" numFmtId="0" xfId="0" applyAlignment="1" applyFill="1" applyFont="1">
      <alignment readingOrder="0"/>
    </xf>
    <xf borderId="0" fillId="0" fontId="12" numFmtId="0" xfId="0" applyAlignment="1" applyFont="1">
      <alignment horizontal="center"/>
    </xf>
    <xf borderId="2" fillId="0" fontId="14" numFmtId="0" xfId="0" applyAlignment="1" applyBorder="1" applyFont="1">
      <alignment horizontal="left" readingOrder="0" shrinkToFit="0" vertical="center" wrapText="0"/>
    </xf>
    <xf borderId="2" fillId="0" fontId="4" numFmtId="0" xfId="0" applyBorder="1" applyFont="1"/>
    <xf borderId="3" fillId="4" fontId="4" numFmtId="0" xfId="0" applyBorder="1" applyFill="1" applyFont="1"/>
    <xf borderId="2" fillId="0" fontId="4" numFmtId="165" xfId="0" applyAlignment="1" applyBorder="1" applyFont="1" applyNumberForma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readingOrder="0" vertical="center"/>
    </xf>
    <xf borderId="10" fillId="0" fontId="13" numFmtId="0" xfId="0" applyBorder="1" applyFont="1"/>
    <xf borderId="11" fillId="0" fontId="13" numFmtId="0" xfId="0" applyBorder="1" applyFont="1"/>
    <xf borderId="12" fillId="0" fontId="13" numFmtId="0" xfId="0" applyBorder="1" applyFont="1"/>
    <xf borderId="13" fillId="0" fontId="13" numFmtId="0" xfId="0" applyBorder="1" applyFont="1"/>
    <xf borderId="14" fillId="0" fontId="13" numFmtId="0" xfId="0" applyBorder="1" applyFont="1"/>
    <xf borderId="2" fillId="0" fontId="4" numFmtId="0" xfId="0" applyAlignment="1" applyBorder="1" applyFont="1">
      <alignment readingOrder="0" shrinkToFit="0" vertical="center" wrapText="0"/>
    </xf>
    <xf borderId="15" fillId="4" fontId="15" numFmtId="0" xfId="0" applyAlignment="1" applyBorder="1" applyFill="1" applyFont="1">
      <alignment readingOrder="0" vertical="top"/>
    </xf>
    <xf borderId="0" fillId="0" fontId="4" numFmtId="0" xfId="0" applyAlignment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borderId="16" fillId="4" fontId="15" numFmtId="0" xfId="0" applyAlignment="1" applyBorder="1" applyFill="1" applyFont="1">
      <alignment readingOrder="0" vertical="top"/>
    </xf>
    <xf borderId="16" fillId="4" fontId="16" numFmtId="0" xfId="0" applyAlignment="1" applyBorder="1" applyFill="1" applyFont="1">
      <alignment readingOrder="0" vertical="top"/>
    </xf>
    <xf borderId="2" fillId="7" fontId="10" numFmtId="0" xfId="0" applyAlignment="1" applyBorder="1" applyFill="1" applyFont="1">
      <alignment horizontal="center" readingOrder="0" shrinkToFit="0" wrapText="0"/>
    </xf>
    <xf borderId="2" fillId="0" fontId="3" numFmtId="0" xfId="0" applyAlignment="1" applyBorder="1" applyFont="1">
      <alignment horizontal="center" shrinkToFit="0" vertical="center" wrapText="1"/>
    </xf>
    <xf borderId="0" fillId="5" fontId="11" numFmtId="0" xfId="0" applyFill="1" applyFont="1"/>
    <xf borderId="0" fillId="4" fontId="11" numFmtId="0" xfId="0" applyFill="1" applyFont="1"/>
    <xf borderId="2" fillId="0" fontId="4" numFmtId="0" xfId="0" applyAlignment="1" applyBorder="1" applyFont="1">
      <alignment readingOrder="0" shrinkToFit="0" vertical="center" wrapText="0"/>
    </xf>
    <xf borderId="0" fillId="3" fontId="12" numFmtId="0" xfId="0" applyAlignment="1" applyFill="1" applyFont="1">
      <alignment horizontal="center" readingOrder="0"/>
    </xf>
    <xf borderId="0" fillId="0" fontId="12" numFmtId="0" xfId="0" applyFont="1"/>
    <xf borderId="17" fillId="0" fontId="4" numFmtId="0" xfId="0" applyAlignment="1" applyBorder="1" applyFont="1">
      <alignment shrinkToFit="0" wrapText="1"/>
    </xf>
    <xf borderId="18" fillId="0" fontId="13" numFmtId="0" xfId="0" applyBorder="1" applyFont="1"/>
    <xf borderId="19" fillId="0" fontId="13" numFmtId="0" xfId="0" applyBorder="1" applyFont="1"/>
    <xf borderId="20" fillId="0" fontId="1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1" numFmtId="0" xfId="0" applyAlignment="1" applyFont="1">
      <alignment horizontal="center" vertical="bottom"/>
    </xf>
    <xf borderId="0" fillId="8" fontId="12" numFmtId="0" xfId="0" applyAlignment="1" applyFill="1" applyFont="1">
      <alignment horizontal="center" readingOrder="0"/>
    </xf>
    <xf borderId="0" fillId="0" fontId="12" numFmtId="166" xfId="0" applyAlignment="1" applyFont="1" applyNumberFormat="1">
      <alignment horizontal="center"/>
    </xf>
    <xf borderId="2" fillId="3" fontId="17" numFmtId="0" xfId="0" applyAlignment="1" applyBorder="1" applyFill="1" applyFont="1">
      <alignment horizontal="center" readingOrder="0" shrinkToFit="0" wrapText="0"/>
    </xf>
    <xf borderId="2" fillId="9" fontId="4" numFmtId="0" xfId="0" applyAlignment="1" applyBorder="1" applyFill="1" applyFont="1">
      <alignment horizontal="center" readingOrder="0"/>
    </xf>
    <xf borderId="2" fillId="10" fontId="11" numFmtId="1" xfId="0" applyAlignment="1" applyBorder="1" applyFill="1" applyFont="1" applyNumberFormat="1">
      <alignment horizontal="center" readingOrder="0" vertical="center"/>
    </xf>
    <xf borderId="0" fillId="9" fontId="12" numFmtId="0" xfId="0" applyAlignment="1" applyFill="1" applyFont="1">
      <alignment horizontal="center" readingOrder="0"/>
    </xf>
    <xf borderId="0" fillId="11" fontId="12" numFmtId="0" xfId="0" applyAlignment="1" applyFill="1" applyFont="1">
      <alignment horizontal="center" readingOrder="0"/>
    </xf>
    <xf borderId="0" fillId="0" fontId="12" numFmtId="10" xfId="0" applyAlignment="1" applyFont="1" applyNumberFormat="1">
      <alignment horizontal="center"/>
    </xf>
    <xf borderId="0" fillId="0" fontId="4" numFmtId="0" xfId="0" applyAlignment="1" applyFont="1">
      <alignment vertical="center"/>
    </xf>
    <xf borderId="0" fillId="0" fontId="4" numFmtId="0" xfId="0" applyFont="1"/>
    <xf borderId="17" fillId="8" fontId="11" numFmtId="0" xfId="0" applyAlignment="1" applyBorder="1" applyFill="1" applyFont="1">
      <alignment horizontal="center" shrinkToFit="0" vertical="center" wrapText="1"/>
    </xf>
    <xf borderId="0" fillId="12" fontId="18" numFmtId="0" xfId="0" applyAlignment="1" applyFill="1" applyFont="1">
      <alignment horizontal="center" readingOrder="0"/>
    </xf>
    <xf borderId="17" fillId="3" fontId="11" numFmtId="0" xfId="0" applyAlignment="1" applyBorder="1" applyFill="1" applyFont="1">
      <alignment horizontal="center" shrinkToFit="0" vertical="center" wrapText="1"/>
    </xf>
    <xf borderId="0" fillId="12" fontId="19" numFmtId="0" xfId="0" applyAlignment="1" applyFill="1" applyFont="1">
      <alignment horizontal="center" readingOrder="0"/>
    </xf>
    <xf borderId="2" fillId="8" fontId="10" numFmtId="0" xfId="0" applyAlignment="1" applyBorder="1" applyFill="1" applyFont="1">
      <alignment horizontal="center" readingOrder="0" shrinkToFit="0" wrapText="0"/>
    </xf>
    <xf borderId="17" fillId="13" fontId="1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vertical="bottom"/>
    </xf>
    <xf borderId="2" fillId="0" fontId="1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5" fontId="11" numFmtId="0" xfId="0" applyAlignment="1" applyBorder="1" applyFill="1" applyFont="1">
      <alignment readingOrder="0"/>
    </xf>
    <xf borderId="2" fillId="5" fontId="11" numFmtId="14" xfId="0" applyBorder="1" applyFill="1" applyFont="1" applyNumberFormat="1"/>
    <xf borderId="0" fillId="0" fontId="11" numFmtId="0" xfId="0" applyAlignment="1" applyFont="1">
      <alignment horizontal="right" vertical="bottom"/>
    </xf>
    <xf borderId="2" fillId="0" fontId="20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shrinkToFit="0" vertical="center" wrapText="1"/>
    </xf>
    <xf borderId="2" fillId="4" fontId="11" numFmtId="0" xfId="0" applyAlignment="1" applyBorder="1" applyFill="1" applyFont="1">
      <alignment readingOrder="0"/>
    </xf>
    <xf borderId="2" fillId="5" fontId="11" numFmtId="2" xfId="0" applyAlignment="1" applyBorder="1" applyFill="1" applyFont="1" applyNumberFormat="1">
      <alignment horizontal="center" readingOrder="0" vertical="center"/>
    </xf>
    <xf borderId="2" fillId="0" fontId="4" numFmtId="0" xfId="0" applyAlignment="1" applyBorder="1" applyFont="1">
      <alignment horizontal="center" readingOrder="0"/>
    </xf>
    <xf borderId="17" fillId="7" fontId="11" numFmtId="0" xfId="0" applyAlignment="1" applyBorder="1" applyFill="1" applyFont="1">
      <alignment horizontal="center" vertical="bottom"/>
    </xf>
    <xf borderId="0" fillId="0" fontId="4" numFmtId="167" xfId="0" applyFont="1" applyNumberFormat="1"/>
    <xf borderId="0" fillId="0" fontId="4" numFmtId="0" xfId="0" applyFont="1"/>
    <xf borderId="2" fillId="2" fontId="4" numFmtId="0" xfId="0" applyAlignment="1" applyBorder="1" applyFill="1" applyFont="1">
      <alignment horizontal="center" readingOrder="0"/>
    </xf>
    <xf borderId="17" fillId="0" fontId="23" numFmtId="0" xfId="0" applyAlignment="1" applyBorder="1" applyFont="1">
      <alignment horizontal="center" vertical="bottom"/>
    </xf>
    <xf borderId="17" fillId="0" fontId="11" numFmtId="0" xfId="0" applyAlignment="1" applyBorder="1" applyFont="1">
      <alignment horizontal="center" vertical="bottom"/>
    </xf>
    <xf borderId="17" fillId="0" fontId="11" numFmtId="0" xfId="0" applyAlignment="1" applyBorder="1" applyFont="1">
      <alignment vertical="bottom"/>
    </xf>
    <xf borderId="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21" fillId="0" fontId="11" numFmtId="0" xfId="0" applyAlignment="1" applyBorder="1" applyFont="1">
      <alignment horizontal="center" readingOrder="0" shrinkToFit="0" vertical="center" wrapText="1"/>
    </xf>
    <xf borderId="22" fillId="0" fontId="13" numFmtId="0" xfId="0" applyBorder="1" applyFont="1"/>
    <xf borderId="23" fillId="0" fontId="13" numFmtId="0" xfId="0" applyBorder="1" applyFont="1"/>
    <xf borderId="24" fillId="0" fontId="13" numFmtId="0" xfId="0" applyBorder="1" applyFont="1"/>
    <xf borderId="25" fillId="0" fontId="13" numFmtId="0" xfId="0" applyBorder="1" applyFont="1"/>
    <xf borderId="26" fillId="0" fontId="13" numFmtId="0" xfId="0" applyBorder="1" applyFont="1"/>
    <xf borderId="2" fillId="12" fontId="18" numFmtId="0" xfId="0" applyAlignment="1" applyBorder="1" applyFill="1" applyFont="1">
      <alignment horizontal="center"/>
    </xf>
    <xf borderId="2" fillId="0" fontId="4" numFmtId="165" xfId="0" applyAlignment="1" applyBorder="1" applyFont="1" applyNumberFormat="1">
      <alignment horizontal="center"/>
    </xf>
    <xf borderId="2" fillId="0" fontId="4" numFmtId="168" xfId="0" applyAlignment="1" applyBorder="1" applyFont="1" applyNumberFormat="1">
      <alignment horizontal="center"/>
    </xf>
    <xf borderId="2" fillId="2" fontId="11" numFmtId="0" xfId="0" applyAlignment="1" applyBorder="1" applyFill="1" applyFont="1">
      <alignment horizontal="center" shrinkToFit="0" vertical="center" wrapText="1"/>
    </xf>
    <xf borderId="0" fillId="0" fontId="4" numFmtId="1" xfId="0" applyAlignment="1" applyFont="1" applyNumberFormat="1">
      <alignment horizontal="center" vertical="center"/>
    </xf>
    <xf borderId="2" fillId="0" fontId="4" numFmtId="0" xfId="0" applyAlignment="1" applyBorder="1" applyFont="1">
      <alignment horizontal="center"/>
    </xf>
    <xf borderId="2" fillId="4" fontId="10" numFmtId="165" xfId="0" applyAlignment="1" applyBorder="1" applyFill="1" applyFont="1" applyNumberFormat="1">
      <alignment horizontal="right" shrinkToFit="0" vertical="center" wrapText="0"/>
    </xf>
    <xf borderId="2" fillId="4" fontId="10" numFmtId="0" xfId="0" applyAlignment="1" applyBorder="1" applyFill="1" applyFont="1">
      <alignment shrinkToFit="0" vertical="center" wrapText="0"/>
    </xf>
    <xf borderId="2" fillId="4" fontId="10" numFmtId="49" xfId="0" applyAlignment="1" applyBorder="1" applyFill="1" applyFont="1" applyNumberFormat="1">
      <alignment shrinkToFit="0" vertical="center" wrapText="0"/>
    </xf>
    <xf borderId="2" fillId="4" fontId="10" numFmtId="0" xfId="0" applyAlignment="1" applyBorder="1" applyFill="1" applyFont="1">
      <alignment horizontal="right" readingOrder="0" shrinkToFit="0" vertical="center" wrapText="0"/>
    </xf>
    <xf borderId="2" fillId="4" fontId="10" numFmtId="0" xfId="0" applyAlignment="1" applyBorder="1" applyFill="1" applyFont="1">
      <alignment horizontal="right"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165" xfId="0" applyAlignment="1" applyBorder="1" applyFont="1" applyNumberForma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2" pivot="0" name="帳戶名單-style">
      <tableStyleElement dxfId="1" type="firstRowStripe"/>
      <tableStyleElement dxfId="2" type="secondRowStripe"/>
    </tableStyle>
    <tableStyle count="4" pivot="0" name="流水帳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'月份查詢看板'!$C$4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'月份查詢看板'!$B$5:$B$142</c:f>
            </c:strRef>
          </c:cat>
          <c:val>
            <c:numRef>
              <c:f>'月份查詢看板'!$C$5:$C$142</c:f>
              <c:numCache/>
            </c:numRef>
          </c:val>
        </c:ser>
        <c:ser>
          <c:idx val="1"/>
          <c:order val="1"/>
          <c:tx>
            <c:strRef>
              <c:f>'月份查詢看板'!$D$4</c:f>
            </c:strRef>
          </c:tx>
          <c:invertIfNegative val="0"/>
          <c:cat>
            <c:strRef>
              <c:f>'月份查詢看板'!$B$5:$B$142</c:f>
            </c:strRef>
          </c:cat>
          <c:val>
            <c:numRef>
              <c:f>'月份查詢看板'!$D$5:$D$142</c:f>
              <c:numCache/>
            </c:numRef>
          </c:val>
        </c:ser>
        <c:ser>
          <c:idx val="2"/>
          <c:order val="2"/>
          <c:tx>
            <c:strRef>
              <c:f>'月份查詢看板'!$E$4</c:f>
            </c:strRef>
          </c:tx>
          <c:invertIfNegative val="0"/>
          <c:cat>
            <c:strRef>
              <c:f>'月份查詢看板'!$B$5:$B$142</c:f>
            </c:strRef>
          </c:cat>
          <c:val>
            <c:numRef>
              <c:f>'月份查詢看板'!$E$5:$E$142</c:f>
              <c:numCache/>
            </c:numRef>
          </c:val>
        </c:ser>
        <c:axId val="972921903"/>
        <c:axId val="1699409156"/>
      </c:barChart>
      <c:catAx>
        <c:axId val="972921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409156"/>
      </c:catAx>
      <c:valAx>
        <c:axId val="1699409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921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819150</xdr:colOff>
      <xdr:row>126</xdr:row>
      <xdr:rowOff>76200</xdr:rowOff>
    </xdr:from>
    <xdr:ext cx="5715000" cy="35337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21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帳戶名單-style" showColumnStripes="0" showFirstColumn="1" showLastColumn="1" showRowStripes="1"/>
</table>
</file>

<file path=xl/tables/table2.xml><?xml version="1.0" encoding="utf-8"?>
<table xmlns="http://schemas.openxmlformats.org/spreadsheetml/2006/main" ref="A1:I7" displayName="Transaction_Record" name="Transaction_Record" id="2">
  <autoFilter ref="$A$1:$I$7"/>
  <tableColumns count="9">
    <tableColumn name="日期" id="1"/>
    <tableColumn name="類別" id="2"/>
    <tableColumn name="收支" id="3"/>
    <tableColumn name="項目" id="4"/>
    <tableColumn name="金額" id="5"/>
    <tableColumn name="帳戶/路徑" id="6"/>
    <tableColumn name="備註" id="7"/>
    <tableColumn name="H 原始金額 (必加)" id="8"/>
    <tableColumn name="Column 9" id="9"/>
  </tableColumns>
  <tableStyleInfo name="流水帳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9" max="9" width="24.13"/>
    <col customWidth="1" min="10" max="10" width="14.88"/>
    <col customWidth="1" min="12" max="12" width="10.13"/>
  </cols>
  <sheetData>
    <row r="1">
      <c r="A1" s="14" t="s">
        <v>0</v>
      </c>
      <c r="B1" s="16" t="s">
        <v>1</v>
      </c>
      <c r="C1" s="16" t="s">
        <v>2</v>
      </c>
      <c r="D1" s="14"/>
      <c r="E1" s="14"/>
      <c r="F1" s="18"/>
      <c r="G1" s="18"/>
    </row>
    <row r="2">
      <c r="A2" s="19" t="s">
        <v>3</v>
      </c>
      <c r="B2" s="20">
        <v>3000</v>
      </c>
      <c r="C2" s="20">
        <f>B2 + SUMIFS('流水帳'!H:H, '流水帳'!F:F, A2, '流水帳'!C:C, "收入") - SUMIFS('流水帳'!H:H, '流水帳'!F:F, A2, '流水帳'!C:C, "支出")</f>
        <v>4850</v>
      </c>
      <c r="D2" s="24"/>
      <c r="E2" s="25"/>
      <c r="F2" s="24"/>
      <c r="G2" s="26"/>
      <c r="H2" s="27"/>
      <c r="K2" s="28"/>
      <c r="L2" s="28"/>
      <c r="M2" s="29"/>
    </row>
    <row r="3">
      <c r="A3" s="19" t="s">
        <v>4</v>
      </c>
      <c r="B3" s="30">
        <v>1000</v>
      </c>
      <c r="C3" s="20">
        <f>B3 + SUMIFS('流水帳'!H:H, '流水帳'!F:F, A3, '流水帳'!C:C, "收入") - SUMIFS('流水帳'!H:H, '流水帳'!F:F, A3, '流水帳'!C:C, "支出")</f>
        <v>1000</v>
      </c>
      <c r="D3" s="31"/>
      <c r="E3" s="31"/>
      <c r="F3" s="31"/>
      <c r="G3" s="32"/>
      <c r="H3" s="34"/>
      <c r="K3" s="36"/>
      <c r="L3" s="36"/>
      <c r="M3" s="37"/>
    </row>
    <row r="4">
      <c r="A4" s="19" t="s">
        <v>5</v>
      </c>
      <c r="B4" s="30">
        <v>500</v>
      </c>
      <c r="C4" s="20">
        <f>B4 + SUMIFS('流水帳'!H:H, '流水帳'!F:F, A4, '流水帳'!C:C, "收入") - SUMIFS('流水帳'!H:H, '流水帳'!F:F, A4, '流水帳'!C:C, "支出")</f>
        <v>500</v>
      </c>
      <c r="D4" s="31"/>
      <c r="E4" s="31"/>
      <c r="F4" s="31"/>
      <c r="G4" s="32"/>
      <c r="H4" s="34"/>
      <c r="K4" s="36"/>
      <c r="L4" s="36"/>
      <c r="M4" s="37"/>
    </row>
    <row r="5">
      <c r="A5" s="39" t="s">
        <v>6</v>
      </c>
      <c r="B5" s="20">
        <v>50000</v>
      </c>
      <c r="C5" s="20">
        <f>B5 + SUMIFS('流水帳'!H:H, '流水帳'!F:F, A5, '流水帳'!C:C, "收入") - SUMIFS('流水帳'!H:H, '流水帳'!F:F, A5, '流水帳'!C:C, "支出")</f>
        <v>93000</v>
      </c>
      <c r="D5" s="24"/>
      <c r="E5" s="25"/>
      <c r="F5" s="24"/>
      <c r="G5" s="44"/>
      <c r="H5" s="47"/>
      <c r="K5" s="48"/>
      <c r="L5" s="48"/>
      <c r="M5" s="21"/>
    </row>
    <row r="6">
      <c r="A6" s="39" t="s">
        <v>7</v>
      </c>
      <c r="B6" s="30">
        <v>30000</v>
      </c>
      <c r="C6" s="20">
        <f>B6 + SUMIFS('流水帳'!H:H, '流水帳'!F:F, A6, '流水帳'!C:C, "收入") - SUMIFS('流水帳'!H:H, '流水帳'!F:F, A6, '流水帳'!C:C, "支出")</f>
        <v>30000</v>
      </c>
      <c r="D6" s="31"/>
      <c r="E6" s="31"/>
      <c r="F6" s="31"/>
      <c r="G6" s="32"/>
      <c r="H6" s="34"/>
      <c r="K6" s="28"/>
      <c r="L6" s="48"/>
      <c r="M6" s="21"/>
    </row>
    <row r="7">
      <c r="A7" s="39" t="s">
        <v>8</v>
      </c>
      <c r="B7" s="30">
        <v>20000</v>
      </c>
      <c r="C7" s="20">
        <f>B7 + SUMIFS('流水帳'!H:H, '流水帳'!F:F, A7, '流水帳'!C:C, "收入") - SUMIFS('流水帳'!H:H, '流水帳'!F:F, A7, '流水帳'!C:C, "支出")</f>
        <v>20000</v>
      </c>
      <c r="D7" s="31"/>
      <c r="E7" s="31"/>
      <c r="F7" s="31"/>
      <c r="G7" s="32"/>
      <c r="H7" s="34"/>
      <c r="K7" s="28"/>
      <c r="L7" s="48"/>
      <c r="M7" s="21"/>
    </row>
    <row r="8">
      <c r="A8" s="39" t="s">
        <v>9</v>
      </c>
      <c r="B8" s="62">
        <v>15000</v>
      </c>
      <c r="C8" s="20">
        <f>B8 + SUMIFS('流水帳'!H:H, '流水帳'!F:F, A8, '流水帳'!C:C, "收入") - SUMIFS('流水帳'!H:H, '流水帳'!F:F, A8, '流水帳'!C:C, "支出")</f>
        <v>14400</v>
      </c>
      <c r="D8" s="31"/>
      <c r="E8" s="31"/>
      <c r="F8" s="31"/>
      <c r="G8" s="32"/>
      <c r="H8" s="34"/>
      <c r="K8" s="28"/>
      <c r="L8" s="48"/>
      <c r="M8" s="21"/>
    </row>
    <row r="9">
      <c r="A9" s="67" t="s">
        <v>10</v>
      </c>
      <c r="B9" s="20">
        <v>0</v>
      </c>
      <c r="C9" s="20">
        <f>B9 + SUMIFS('流水帳'!H:H, '流水帳'!F:F, A9, '流水帳'!C:C, "收入") - SUMIFS('流水帳'!H:H, '流水帳'!F:F, A9, '流水帳'!C:C, "支出")</f>
        <v>0</v>
      </c>
      <c r="D9" s="31"/>
      <c r="E9" s="31"/>
      <c r="F9" s="31"/>
      <c r="G9" s="32"/>
      <c r="H9" s="69"/>
      <c r="K9" s="48"/>
      <c r="L9" s="48"/>
      <c r="M9" s="21"/>
    </row>
    <row r="10">
      <c r="A10" s="67" t="s">
        <v>11</v>
      </c>
      <c r="B10" s="30">
        <v>0</v>
      </c>
      <c r="C10" s="20">
        <f>B10 + SUMIFS('流水帳'!H:H, '流水帳'!F:F, A10, '流水帳'!C:C, "收入") - SUMIFS('流水帳'!H:H, '流水帳'!F:F, A10, '流水帳'!C:C, "支出")</f>
        <v>0</v>
      </c>
      <c r="D10" s="24"/>
      <c r="E10" s="24"/>
      <c r="F10" s="24"/>
      <c r="G10" s="44"/>
      <c r="H10" s="70"/>
      <c r="K10" s="48"/>
      <c r="L10" s="48"/>
      <c r="M10" s="21"/>
    </row>
    <row r="11">
      <c r="A11" s="67" t="s">
        <v>12</v>
      </c>
      <c r="B11" s="20">
        <v>0</v>
      </c>
      <c r="C11" s="20">
        <f>B11 + SUMIFS('流水帳'!H:H, '流水帳'!F:F, A11, '流水帳'!C:C, "收入") - SUMIFS('流水帳'!H:H, '流水帳'!F:F, A11, '流水帳'!C:C, "支出")</f>
        <v>-450</v>
      </c>
      <c r="D11" s="31"/>
      <c r="E11" s="31"/>
      <c r="F11" s="31"/>
      <c r="G11" s="32"/>
      <c r="H11" s="69"/>
      <c r="K11" s="48"/>
      <c r="L11" s="48"/>
    </row>
    <row r="12">
      <c r="A12" s="19" t="s">
        <v>13</v>
      </c>
      <c r="B12" s="30">
        <v>10000</v>
      </c>
      <c r="C12" s="20">
        <f>B12 + SUMIFS('流水帳'!H:H, '流水帳'!F:F, A12, '流水帳'!C:C, "收入") - SUMIFS('流水帳'!H:H, '流水帳'!F:F, A12, '流水帳'!C:C, "支出")</f>
        <v>10000</v>
      </c>
      <c r="D12" s="24"/>
      <c r="E12" s="24"/>
      <c r="F12" s="24"/>
      <c r="G12" s="44"/>
      <c r="H12" s="70"/>
      <c r="I12" s="72" t="s">
        <v>14</v>
      </c>
      <c r="J12" s="73"/>
      <c r="K12" s="73"/>
      <c r="L12" s="73"/>
    </row>
    <row r="13">
      <c r="A13" s="19" t="s">
        <v>15</v>
      </c>
      <c r="B13" s="20">
        <v>50000</v>
      </c>
      <c r="C13" s="20">
        <f>B13 + SUMIFS('流水帳'!H:H, '流水帳'!F:F, A13, '流水帳'!C:C, "收入") - SUMIFS('流水帳'!H:H, '流水帳'!F:F, A13, '流水帳'!C:C, "支出")</f>
        <v>50000</v>
      </c>
      <c r="D13" s="31"/>
      <c r="E13" s="31"/>
      <c r="F13" s="31"/>
      <c r="G13" s="32"/>
      <c r="H13" s="69"/>
      <c r="I13" s="36">
        <f>SUM(C2:C19)</f>
        <v>553300</v>
      </c>
      <c r="J13" s="73"/>
      <c r="K13" s="73"/>
      <c r="L13" s="73"/>
    </row>
    <row r="14">
      <c r="A14" s="19" t="s">
        <v>16</v>
      </c>
      <c r="B14" s="30">
        <v>20000</v>
      </c>
      <c r="C14" s="20">
        <f>B14 + SUMIFS('流水帳'!H:H, '流水帳'!F:F, A14, '流水帳'!C:C, "收入") - SUMIFS('流水帳'!H:H, '流水帳'!F:F, A14, '流水帳'!C:C, "支出")</f>
        <v>20000</v>
      </c>
      <c r="D14" s="24"/>
      <c r="E14" s="24"/>
      <c r="F14" s="24"/>
      <c r="G14" s="44"/>
      <c r="H14" s="70"/>
      <c r="I14" s="48"/>
      <c r="J14" s="48"/>
      <c r="K14" s="73"/>
      <c r="L14" s="73"/>
    </row>
    <row r="15">
      <c r="A15" s="19" t="s">
        <v>17</v>
      </c>
      <c r="B15" s="20">
        <v>30000</v>
      </c>
      <c r="C15" s="20">
        <f>B15 + SUMIFS('流水帳'!H:H, '流水帳'!F:F, A15, '流水帳'!C:C, "收入") - SUMIFS('流水帳'!H:H, '流水帳'!F:F, A15, '流水帳'!C:C, "支出")</f>
        <v>30000</v>
      </c>
      <c r="D15" s="31"/>
      <c r="E15" s="31"/>
      <c r="F15" s="31"/>
      <c r="G15" s="32"/>
      <c r="H15" s="69"/>
      <c r="I15" s="80" t="s">
        <v>18</v>
      </c>
      <c r="J15" s="80" t="s">
        <v>19</v>
      </c>
      <c r="K15" s="73"/>
      <c r="L15" s="73"/>
    </row>
    <row r="16">
      <c r="A16" s="19" t="s">
        <v>20</v>
      </c>
      <c r="B16" s="30">
        <v>50000</v>
      </c>
      <c r="C16" s="20">
        <f>B16 + SUMIFS('流水帳'!H:H, '流水帳'!F:F, A16, '流水帳'!C:C, "收入") - SUMIFS('流水帳'!H:H, '流水帳'!F:F, A16, '流水帳'!C:C, "支出")</f>
        <v>50000</v>
      </c>
      <c r="D16" s="24"/>
      <c r="E16" s="24"/>
      <c r="F16" s="24"/>
      <c r="G16" s="44"/>
      <c r="H16" s="70"/>
      <c r="I16" s="81">
        <f>SUM(C22:C25)</f>
        <v>5000</v>
      </c>
      <c r="J16" s="36">
        <f>IFERROR(__xludf.DUMMYFUNCTION("GOOGLEFINANCE(""CURRENCY:USDTWD"")*I16"),162500)</f>
        <v>162500</v>
      </c>
      <c r="K16" s="73"/>
      <c r="L16" s="73"/>
    </row>
    <row r="17">
      <c r="A17" s="82" t="s">
        <v>21</v>
      </c>
      <c r="B17" s="20">
        <v>20000</v>
      </c>
      <c r="C17" s="20">
        <f>B17 + SUMIFS('流水帳'!H:H, '流水帳'!F:F, A17, '流水帳'!C:C, "收入") - SUMIFS('流水帳'!H:H, '流水帳'!F:F, A17, '流水帳'!C:C, "支出")</f>
        <v>20000</v>
      </c>
      <c r="D17" s="24"/>
      <c r="E17" s="24"/>
      <c r="F17" s="24"/>
      <c r="G17" s="44"/>
      <c r="H17" s="47"/>
      <c r="I17" s="48"/>
      <c r="J17" s="73"/>
      <c r="K17" s="73"/>
      <c r="L17" s="73"/>
    </row>
    <row r="18">
      <c r="A18" s="83" t="s">
        <v>22</v>
      </c>
      <c r="B18" s="20">
        <v>250000</v>
      </c>
      <c r="C18" s="84">
        <f>B18 + SUMIFS('流水帳'!H:H, '流水帳'!F:F, A18, '流水帳'!C:C, "收入") - SUMIFS('流水帳'!H:H, '流水帳'!F:F, A18, '流水帳'!C:C, "支出")</f>
        <v>250000</v>
      </c>
      <c r="D18" s="24"/>
      <c r="E18" s="24"/>
      <c r="F18" s="24"/>
      <c r="G18" s="32"/>
      <c r="H18" s="34"/>
      <c r="I18" s="85" t="s">
        <v>23</v>
      </c>
      <c r="J18" s="86"/>
      <c r="K18" s="73"/>
      <c r="L18" s="73"/>
    </row>
    <row r="19">
      <c r="A19" s="19" t="s">
        <v>24</v>
      </c>
      <c r="B19" s="30">
        <v>0</v>
      </c>
      <c r="C19" s="20">
        <f>B19 + SUMIFS('流水帳'!H:H, '流水帳'!F:F, A19, '流水帳'!C:C, "收入") - SUMIFS('流水帳'!H:H, '流水帳'!F:F, A19, '流水帳'!C:C, "支出")</f>
        <v>0</v>
      </c>
      <c r="D19" s="31"/>
      <c r="E19" s="31"/>
      <c r="F19" s="31"/>
      <c r="G19" s="31"/>
      <c r="H19" s="69"/>
      <c r="I19" s="36">
        <f>I13+J16</f>
        <v>715800</v>
      </c>
      <c r="J19" s="87"/>
      <c r="K19" s="73"/>
      <c r="L19" s="73"/>
    </row>
    <row r="20">
      <c r="B20" s="88"/>
      <c r="C20" s="88"/>
      <c r="H20" s="89"/>
      <c r="I20" s="73"/>
      <c r="J20" s="73"/>
      <c r="K20" s="73"/>
      <c r="L20" s="73"/>
    </row>
    <row r="21">
      <c r="A21" s="14" t="s">
        <v>0</v>
      </c>
      <c r="B21" s="16" t="s">
        <v>25</v>
      </c>
      <c r="C21" s="20"/>
      <c r="D21" s="14"/>
      <c r="E21" s="14"/>
      <c r="F21" s="18"/>
      <c r="G21" s="18"/>
      <c r="H21" s="89"/>
      <c r="I21" s="91" t="s">
        <v>26</v>
      </c>
      <c r="K21" s="93" t="s">
        <v>27</v>
      </c>
      <c r="L21" s="73"/>
    </row>
    <row r="22">
      <c r="A22" s="94" t="s">
        <v>28</v>
      </c>
      <c r="B22" s="30">
        <v>500</v>
      </c>
      <c r="C22" s="20">
        <f>B22 + SUMIFS('流水帳'!H:H, '流水帳'!F:F, A22, '流水帳'!C:C, "收入") - SUMIFS('流水帳'!H:H, '流水帳'!F:F, A22, '流水帳'!C:C, "支出")</f>
        <v>500</v>
      </c>
      <c r="D22" s="99"/>
      <c r="E22" s="100"/>
      <c r="F22" s="31"/>
      <c r="G22" s="32"/>
      <c r="I22" s="37">
        <f>I19-C15</f>
        <v>685800</v>
      </c>
      <c r="K22" s="36">
        <v>50000</v>
      </c>
      <c r="L22" s="73"/>
    </row>
    <row r="23">
      <c r="A23" s="94" t="s">
        <v>29</v>
      </c>
      <c r="B23" s="20">
        <v>500</v>
      </c>
      <c r="C23" s="20">
        <f>B23 + SUMIFS('流水帳'!H:H, '流水帳'!F:F, A23, '流水帳'!C:C, "收入") - SUMIFS('流水帳'!H:H, '流水帳'!F:F, A23, '流水帳'!C:C, "支出")</f>
        <v>500</v>
      </c>
      <c r="D23" s="106"/>
      <c r="E23" s="25"/>
      <c r="F23" s="24"/>
      <c r="G23" s="32"/>
      <c r="L23" s="73"/>
    </row>
    <row r="24">
      <c r="A24" s="94" t="s">
        <v>30</v>
      </c>
      <c r="B24" s="107">
        <v>1000</v>
      </c>
      <c r="C24" s="20">
        <f>B24 + SUMIFS('流水帳'!H:H, '流水帳'!F:F, A24, '流水帳'!C:C, "收入") - SUMIFS('流水帳'!H:H, '流水帳'!F:F, A24, '流水帳'!C:C, "支出")</f>
        <v>1000</v>
      </c>
      <c r="D24" s="99"/>
      <c r="E24" s="31"/>
      <c r="F24" s="100"/>
      <c r="G24" s="32"/>
      <c r="K24" s="93" t="s">
        <v>31</v>
      </c>
      <c r="L24" s="73"/>
    </row>
    <row r="25">
      <c r="A25" s="112" t="s">
        <v>32</v>
      </c>
      <c r="B25" s="20">
        <v>3000</v>
      </c>
      <c r="C25" s="20">
        <f>B25 + SUMIFS('流水帳'!H:H, '流水帳'!F:F, A25, '流水帳'!C:C, "收入") - SUMIFS('流水帳'!H:H, '流水帳'!F:F, A25, '流水帳'!C:C, "支出")</f>
        <v>3000</v>
      </c>
      <c r="D25" s="106"/>
      <c r="E25" s="24"/>
      <c r="F25" s="24"/>
      <c r="G25" s="32"/>
      <c r="K25" s="37">
        <f>I19+K22</f>
        <v>765800</v>
      </c>
    </row>
    <row r="26">
      <c r="B26" s="117"/>
      <c r="C26" s="117"/>
    </row>
    <row r="27">
      <c r="B27" s="62"/>
      <c r="C27" s="62"/>
      <c r="I27" s="118" t="s">
        <v>33</v>
      </c>
      <c r="J27" s="119"/>
      <c r="K27" s="120"/>
    </row>
    <row r="28" ht="39.75" customHeight="1">
      <c r="B28" s="88"/>
      <c r="C28" s="88"/>
      <c r="I28" s="121"/>
      <c r="J28" s="122"/>
      <c r="K28" s="123"/>
    </row>
    <row r="29">
      <c r="B29" s="88"/>
      <c r="C29" s="88"/>
      <c r="I29" s="97" t="s">
        <v>34</v>
      </c>
      <c r="J29" s="97" t="s">
        <v>35</v>
      </c>
      <c r="K29" s="97" t="s">
        <v>36</v>
      </c>
    </row>
    <row r="30">
      <c r="B30" s="88"/>
      <c r="C30" s="88"/>
      <c r="I30" s="97" t="s">
        <v>37</v>
      </c>
      <c r="J30" s="97">
        <v>60.0</v>
      </c>
    </row>
    <row r="31">
      <c r="B31" s="117"/>
      <c r="C31" s="117"/>
      <c r="I31" s="97" t="s">
        <v>38</v>
      </c>
      <c r="J31" s="97">
        <v>61.5</v>
      </c>
      <c r="K31" s="97" t="s">
        <v>39</v>
      </c>
    </row>
    <row r="32">
      <c r="B32" s="117"/>
      <c r="C32" s="117"/>
      <c r="I32" s="97" t="s">
        <v>40</v>
      </c>
      <c r="J32" s="97">
        <v>63.0</v>
      </c>
    </row>
    <row r="33">
      <c r="B33" s="117"/>
      <c r="C33" s="117"/>
      <c r="I33" s="97" t="s">
        <v>41</v>
      </c>
      <c r="J33" s="97">
        <v>64.5</v>
      </c>
    </row>
    <row r="34">
      <c r="B34" s="117"/>
      <c r="C34" s="117"/>
      <c r="I34" s="97" t="s">
        <v>42</v>
      </c>
      <c r="J34" s="97">
        <v>66.0</v>
      </c>
    </row>
    <row r="35">
      <c r="B35" s="117"/>
      <c r="C35" s="117"/>
      <c r="I35" s="97" t="s">
        <v>43</v>
      </c>
      <c r="J35" s="97">
        <v>67.5</v>
      </c>
    </row>
    <row r="36">
      <c r="B36" s="117"/>
      <c r="C36" s="117"/>
      <c r="I36" s="97" t="s">
        <v>44</v>
      </c>
      <c r="J36" s="97">
        <v>69.0</v>
      </c>
    </row>
    <row r="37">
      <c r="B37" s="117"/>
      <c r="C37" s="117"/>
      <c r="I37" s="97" t="s">
        <v>45</v>
      </c>
      <c r="J37" s="97">
        <v>70.5</v>
      </c>
    </row>
    <row r="38">
      <c r="B38" s="117"/>
      <c r="C38" s="117"/>
      <c r="I38" s="97" t="s">
        <v>46</v>
      </c>
      <c r="J38" s="97">
        <v>72.0</v>
      </c>
    </row>
    <row r="39">
      <c r="B39" s="117"/>
      <c r="C39" s="117"/>
      <c r="I39" s="97" t="s">
        <v>47</v>
      </c>
      <c r="J39" s="97">
        <v>73.5</v>
      </c>
    </row>
    <row r="40">
      <c r="B40" s="117"/>
      <c r="C40" s="117"/>
      <c r="I40" s="97" t="s">
        <v>48</v>
      </c>
      <c r="J40" s="97">
        <v>75.0</v>
      </c>
    </row>
    <row r="41">
      <c r="B41" s="117"/>
      <c r="C41" s="117"/>
      <c r="I41" s="97" t="s">
        <v>49</v>
      </c>
      <c r="J41" s="97">
        <v>76.5</v>
      </c>
    </row>
    <row r="42">
      <c r="B42" s="117"/>
      <c r="C42" s="117"/>
    </row>
    <row r="43">
      <c r="B43" s="117"/>
      <c r="C43" s="117"/>
    </row>
    <row r="44">
      <c r="B44" s="117"/>
      <c r="C44" s="117"/>
    </row>
    <row r="45">
      <c r="B45" s="117"/>
      <c r="C45" s="117"/>
    </row>
    <row r="46">
      <c r="B46" s="117"/>
      <c r="C46" s="117"/>
    </row>
    <row r="47">
      <c r="B47" s="128"/>
      <c r="C47" s="128"/>
    </row>
    <row r="48">
      <c r="B48" s="128"/>
      <c r="C48" s="128"/>
    </row>
    <row r="49">
      <c r="B49" s="128"/>
      <c r="C49" s="128"/>
    </row>
    <row r="50">
      <c r="B50" s="128"/>
      <c r="C50" s="128"/>
    </row>
    <row r="51">
      <c r="B51" s="128"/>
      <c r="C51" s="128"/>
    </row>
    <row r="52">
      <c r="B52" s="128"/>
      <c r="C52" s="128"/>
    </row>
    <row r="53">
      <c r="B53" s="128"/>
      <c r="C53" s="128"/>
    </row>
    <row r="54">
      <c r="B54" s="128"/>
      <c r="C54" s="128"/>
    </row>
    <row r="55">
      <c r="B55" s="128"/>
      <c r="C55" s="128"/>
    </row>
    <row r="56">
      <c r="B56" s="128"/>
      <c r="C56" s="128"/>
    </row>
    <row r="57">
      <c r="B57" s="128"/>
      <c r="C57" s="128"/>
    </row>
    <row r="58">
      <c r="B58" s="128"/>
      <c r="C58" s="128"/>
    </row>
    <row r="59">
      <c r="B59" s="128"/>
      <c r="C59" s="128"/>
    </row>
    <row r="60">
      <c r="B60" s="128"/>
      <c r="C60" s="128"/>
    </row>
    <row r="61">
      <c r="B61" s="128"/>
      <c r="C61" s="128"/>
    </row>
    <row r="62">
      <c r="B62" s="128"/>
      <c r="C62" s="128"/>
    </row>
    <row r="63">
      <c r="B63" s="128"/>
      <c r="C63" s="128"/>
    </row>
    <row r="64">
      <c r="B64" s="128"/>
      <c r="C64" s="128"/>
    </row>
    <row r="65">
      <c r="B65" s="128"/>
      <c r="C65" s="128"/>
    </row>
    <row r="66">
      <c r="B66" s="128"/>
      <c r="C66" s="128"/>
    </row>
    <row r="67">
      <c r="B67" s="128"/>
      <c r="C67" s="128"/>
    </row>
    <row r="68">
      <c r="B68" s="128"/>
      <c r="C68" s="128"/>
    </row>
    <row r="69">
      <c r="B69" s="128"/>
      <c r="C69" s="128"/>
    </row>
    <row r="70">
      <c r="B70" s="128"/>
      <c r="C70" s="128"/>
    </row>
    <row r="71">
      <c r="B71" s="128"/>
      <c r="C71" s="128"/>
    </row>
    <row r="72">
      <c r="B72" s="128"/>
      <c r="C72" s="128"/>
    </row>
    <row r="73">
      <c r="B73" s="128"/>
      <c r="C73" s="128"/>
    </row>
    <row r="74">
      <c r="B74" s="128"/>
      <c r="C74" s="128"/>
    </row>
    <row r="75">
      <c r="B75" s="128"/>
      <c r="C75" s="128"/>
    </row>
    <row r="76">
      <c r="B76" s="128"/>
      <c r="C76" s="128"/>
    </row>
    <row r="77">
      <c r="B77" s="128"/>
      <c r="C77" s="128"/>
    </row>
    <row r="78">
      <c r="B78" s="128"/>
      <c r="C78" s="128"/>
    </row>
    <row r="79">
      <c r="B79" s="128"/>
      <c r="C79" s="128"/>
    </row>
    <row r="80">
      <c r="B80" s="128"/>
      <c r="C80" s="128"/>
    </row>
    <row r="81">
      <c r="B81" s="128"/>
      <c r="C81" s="128"/>
    </row>
    <row r="82">
      <c r="B82" s="128"/>
      <c r="C82" s="128"/>
    </row>
    <row r="83">
      <c r="B83" s="128"/>
      <c r="C83" s="128"/>
    </row>
    <row r="84">
      <c r="B84" s="128"/>
      <c r="C84" s="128"/>
    </row>
    <row r="85">
      <c r="B85" s="128"/>
      <c r="C85" s="128"/>
    </row>
    <row r="86">
      <c r="B86" s="128"/>
      <c r="C86" s="128"/>
    </row>
    <row r="87">
      <c r="B87" s="128"/>
      <c r="C87" s="128"/>
    </row>
    <row r="88">
      <c r="B88" s="128"/>
      <c r="C88" s="128"/>
    </row>
    <row r="89">
      <c r="B89" s="128"/>
      <c r="C89" s="128"/>
    </row>
    <row r="90">
      <c r="B90" s="128"/>
      <c r="C90" s="128"/>
    </row>
    <row r="91">
      <c r="B91" s="128"/>
      <c r="C91" s="128"/>
    </row>
    <row r="92">
      <c r="B92" s="128"/>
      <c r="C92" s="128"/>
    </row>
    <row r="93">
      <c r="B93" s="128"/>
      <c r="C93" s="128"/>
    </row>
    <row r="94">
      <c r="B94" s="128"/>
      <c r="C94" s="128"/>
    </row>
    <row r="95">
      <c r="B95" s="128"/>
      <c r="C95" s="128"/>
    </row>
    <row r="96">
      <c r="B96" s="128"/>
      <c r="C96" s="128"/>
    </row>
    <row r="97">
      <c r="B97" s="128"/>
      <c r="C97" s="128"/>
    </row>
    <row r="98">
      <c r="B98" s="128"/>
      <c r="C98" s="128"/>
    </row>
    <row r="99">
      <c r="B99" s="128"/>
      <c r="C99" s="128"/>
    </row>
    <row r="100">
      <c r="B100" s="128"/>
      <c r="C100" s="128"/>
    </row>
    <row r="101">
      <c r="B101" s="128"/>
      <c r="C101" s="128"/>
    </row>
    <row r="102">
      <c r="B102" s="128"/>
      <c r="C102" s="128"/>
    </row>
    <row r="103">
      <c r="B103" s="128"/>
      <c r="C103" s="128"/>
    </row>
    <row r="104">
      <c r="B104" s="128"/>
      <c r="C104" s="128"/>
    </row>
    <row r="105">
      <c r="B105" s="128"/>
      <c r="C105" s="128"/>
    </row>
    <row r="106">
      <c r="B106" s="128"/>
      <c r="C106" s="128"/>
    </row>
    <row r="107">
      <c r="B107" s="128"/>
      <c r="C107" s="128"/>
    </row>
    <row r="108">
      <c r="B108" s="128"/>
      <c r="C108" s="128"/>
    </row>
    <row r="109">
      <c r="B109" s="128"/>
      <c r="C109" s="128"/>
    </row>
    <row r="110">
      <c r="B110" s="128"/>
      <c r="C110" s="128"/>
    </row>
    <row r="111">
      <c r="B111" s="128"/>
      <c r="C111" s="128"/>
    </row>
    <row r="112">
      <c r="B112" s="128"/>
      <c r="C112" s="128"/>
    </row>
    <row r="113">
      <c r="B113" s="128"/>
      <c r="C113" s="128"/>
    </row>
    <row r="114">
      <c r="B114" s="128"/>
      <c r="C114" s="128"/>
    </row>
    <row r="115">
      <c r="B115" s="128"/>
      <c r="C115" s="128"/>
    </row>
    <row r="116">
      <c r="B116" s="128"/>
      <c r="C116" s="128"/>
    </row>
    <row r="117">
      <c r="B117" s="128"/>
      <c r="C117" s="128"/>
    </row>
    <row r="118">
      <c r="B118" s="128"/>
      <c r="C118" s="128"/>
    </row>
    <row r="119">
      <c r="B119" s="128"/>
      <c r="C119" s="128"/>
    </row>
    <row r="120">
      <c r="B120" s="128"/>
      <c r="C120" s="128"/>
    </row>
    <row r="121">
      <c r="B121" s="128"/>
      <c r="C121" s="128"/>
    </row>
    <row r="122">
      <c r="B122" s="128"/>
      <c r="C122" s="128"/>
    </row>
    <row r="123">
      <c r="B123" s="128"/>
      <c r="C123" s="128"/>
    </row>
    <row r="124">
      <c r="B124" s="128"/>
      <c r="C124" s="128"/>
    </row>
    <row r="125">
      <c r="B125" s="128"/>
      <c r="C125" s="128"/>
    </row>
    <row r="126">
      <c r="B126" s="128"/>
      <c r="C126" s="128"/>
    </row>
    <row r="127">
      <c r="B127" s="128"/>
      <c r="C127" s="128"/>
    </row>
    <row r="128">
      <c r="B128" s="128"/>
      <c r="C128" s="128"/>
    </row>
    <row r="129">
      <c r="B129" s="128"/>
      <c r="C129" s="128"/>
    </row>
    <row r="130">
      <c r="B130" s="128"/>
      <c r="C130" s="128"/>
    </row>
    <row r="131">
      <c r="B131" s="128"/>
      <c r="C131" s="128"/>
    </row>
    <row r="132">
      <c r="B132" s="128"/>
      <c r="C132" s="128"/>
    </row>
    <row r="133">
      <c r="B133" s="128"/>
      <c r="C133" s="128"/>
    </row>
    <row r="134">
      <c r="B134" s="128"/>
      <c r="C134" s="128"/>
    </row>
    <row r="135">
      <c r="B135" s="128"/>
      <c r="C135" s="128"/>
    </row>
    <row r="136">
      <c r="B136" s="128"/>
      <c r="C136" s="128"/>
    </row>
    <row r="137">
      <c r="B137" s="128"/>
      <c r="C137" s="128"/>
    </row>
    <row r="138">
      <c r="B138" s="128"/>
      <c r="C138" s="128"/>
    </row>
    <row r="139">
      <c r="B139" s="128"/>
      <c r="C139" s="128"/>
    </row>
    <row r="140">
      <c r="B140" s="128"/>
      <c r="C140" s="128"/>
    </row>
    <row r="141">
      <c r="B141" s="128"/>
      <c r="C141" s="128"/>
    </row>
    <row r="142">
      <c r="B142" s="128"/>
      <c r="C142" s="128"/>
    </row>
    <row r="143">
      <c r="B143" s="128"/>
      <c r="C143" s="128"/>
    </row>
    <row r="144">
      <c r="B144" s="128"/>
      <c r="C144" s="128"/>
    </row>
    <row r="145">
      <c r="B145" s="128"/>
      <c r="C145" s="128"/>
    </row>
    <row r="146">
      <c r="B146" s="128"/>
      <c r="C146" s="128"/>
    </row>
    <row r="147">
      <c r="B147" s="128"/>
      <c r="C147" s="128"/>
    </row>
    <row r="148">
      <c r="B148" s="128"/>
      <c r="C148" s="128"/>
    </row>
    <row r="149">
      <c r="B149" s="128"/>
      <c r="C149" s="128"/>
    </row>
    <row r="150">
      <c r="B150" s="128"/>
      <c r="C150" s="128"/>
    </row>
    <row r="151">
      <c r="B151" s="128"/>
      <c r="C151" s="128"/>
    </row>
    <row r="152">
      <c r="B152" s="128"/>
      <c r="C152" s="128"/>
    </row>
    <row r="153">
      <c r="B153" s="128"/>
      <c r="C153" s="128"/>
    </row>
    <row r="154">
      <c r="B154" s="128"/>
      <c r="C154" s="128"/>
    </row>
    <row r="155">
      <c r="B155" s="128"/>
      <c r="C155" s="128"/>
    </row>
    <row r="156">
      <c r="B156" s="128"/>
      <c r="C156" s="128"/>
    </row>
    <row r="157">
      <c r="B157" s="128"/>
      <c r="C157" s="128"/>
    </row>
    <row r="158">
      <c r="B158" s="128"/>
      <c r="C158" s="128"/>
    </row>
    <row r="159">
      <c r="B159" s="128"/>
      <c r="C159" s="128"/>
    </row>
    <row r="160">
      <c r="B160" s="128"/>
      <c r="C160" s="128"/>
    </row>
    <row r="161">
      <c r="B161" s="128"/>
      <c r="C161" s="128"/>
    </row>
    <row r="162">
      <c r="B162" s="128"/>
      <c r="C162" s="128"/>
    </row>
    <row r="163">
      <c r="B163" s="128"/>
      <c r="C163" s="128"/>
    </row>
    <row r="164">
      <c r="B164" s="128"/>
      <c r="C164" s="128"/>
    </row>
    <row r="165">
      <c r="B165" s="128"/>
      <c r="C165" s="128"/>
    </row>
    <row r="166">
      <c r="B166" s="128"/>
      <c r="C166" s="128"/>
    </row>
    <row r="167">
      <c r="B167" s="128"/>
      <c r="C167" s="128"/>
    </row>
    <row r="168">
      <c r="B168" s="128"/>
      <c r="C168" s="128"/>
    </row>
    <row r="169">
      <c r="B169" s="128"/>
      <c r="C169" s="128"/>
    </row>
    <row r="170">
      <c r="B170" s="128"/>
      <c r="C170" s="128"/>
    </row>
    <row r="171">
      <c r="B171" s="128"/>
      <c r="C171" s="128"/>
    </row>
    <row r="172">
      <c r="B172" s="128"/>
      <c r="C172" s="128"/>
    </row>
    <row r="173">
      <c r="B173" s="128"/>
      <c r="C173" s="128"/>
    </row>
    <row r="174">
      <c r="B174" s="128"/>
      <c r="C174" s="128"/>
    </row>
    <row r="175">
      <c r="B175" s="128"/>
      <c r="C175" s="128"/>
    </row>
    <row r="176">
      <c r="B176" s="128"/>
      <c r="C176" s="128"/>
    </row>
    <row r="177">
      <c r="B177" s="128"/>
      <c r="C177" s="128"/>
    </row>
    <row r="178">
      <c r="B178" s="128"/>
      <c r="C178" s="128"/>
    </row>
    <row r="179">
      <c r="B179" s="128"/>
      <c r="C179" s="128"/>
    </row>
    <row r="180">
      <c r="B180" s="128"/>
      <c r="C180" s="128"/>
    </row>
    <row r="181">
      <c r="B181" s="128"/>
      <c r="C181" s="128"/>
    </row>
    <row r="182">
      <c r="B182" s="128"/>
      <c r="C182" s="128"/>
    </row>
    <row r="183">
      <c r="B183" s="128"/>
      <c r="C183" s="128"/>
    </row>
    <row r="184">
      <c r="B184" s="128"/>
      <c r="C184" s="128"/>
    </row>
    <row r="185">
      <c r="B185" s="128"/>
      <c r="C185" s="128"/>
    </row>
    <row r="186">
      <c r="B186" s="128"/>
      <c r="C186" s="128"/>
    </row>
    <row r="187">
      <c r="B187" s="128"/>
      <c r="C187" s="128"/>
    </row>
    <row r="188">
      <c r="B188" s="128"/>
      <c r="C188" s="128"/>
    </row>
    <row r="189">
      <c r="B189" s="128"/>
      <c r="C189" s="128"/>
    </row>
    <row r="190">
      <c r="B190" s="128"/>
      <c r="C190" s="128"/>
    </row>
    <row r="191">
      <c r="B191" s="128"/>
      <c r="C191" s="128"/>
    </row>
    <row r="192">
      <c r="B192" s="128"/>
      <c r="C192" s="128"/>
    </row>
    <row r="193">
      <c r="B193" s="128"/>
      <c r="C193" s="128"/>
    </row>
    <row r="194">
      <c r="B194" s="128"/>
      <c r="C194" s="128"/>
    </row>
    <row r="195">
      <c r="B195" s="128"/>
      <c r="C195" s="128"/>
    </row>
    <row r="196">
      <c r="B196" s="128"/>
      <c r="C196" s="128"/>
    </row>
    <row r="197">
      <c r="B197" s="128"/>
      <c r="C197" s="128"/>
    </row>
    <row r="198">
      <c r="B198" s="128"/>
      <c r="C198" s="128"/>
    </row>
    <row r="199">
      <c r="B199" s="128"/>
      <c r="C199" s="128"/>
    </row>
    <row r="200">
      <c r="B200" s="128"/>
      <c r="C200" s="128"/>
    </row>
    <row r="201">
      <c r="B201" s="128"/>
      <c r="C201" s="128"/>
    </row>
    <row r="202">
      <c r="B202" s="128"/>
      <c r="C202" s="128"/>
    </row>
    <row r="203">
      <c r="B203" s="128"/>
      <c r="C203" s="128"/>
    </row>
    <row r="204">
      <c r="B204" s="128"/>
      <c r="C204" s="128"/>
    </row>
    <row r="205">
      <c r="B205" s="128"/>
      <c r="C205" s="128"/>
    </row>
    <row r="206">
      <c r="B206" s="128"/>
      <c r="C206" s="128"/>
    </row>
    <row r="207">
      <c r="B207" s="128"/>
      <c r="C207" s="128"/>
    </row>
    <row r="208">
      <c r="B208" s="128"/>
      <c r="C208" s="128"/>
    </row>
    <row r="209">
      <c r="B209" s="128"/>
      <c r="C209" s="128"/>
    </row>
    <row r="210">
      <c r="B210" s="128"/>
      <c r="C210" s="128"/>
    </row>
    <row r="211">
      <c r="B211" s="128"/>
      <c r="C211" s="128"/>
    </row>
    <row r="212">
      <c r="B212" s="128"/>
      <c r="C212" s="128"/>
    </row>
    <row r="213">
      <c r="B213" s="128"/>
      <c r="C213" s="128"/>
    </row>
    <row r="214">
      <c r="B214" s="128"/>
      <c r="C214" s="128"/>
    </row>
    <row r="215">
      <c r="B215" s="128"/>
      <c r="C215" s="128"/>
    </row>
    <row r="216">
      <c r="B216" s="128"/>
      <c r="C216" s="128"/>
    </row>
    <row r="217">
      <c r="B217" s="128"/>
      <c r="C217" s="128"/>
    </row>
    <row r="218">
      <c r="B218" s="128"/>
      <c r="C218" s="128"/>
    </row>
    <row r="219">
      <c r="B219" s="128"/>
      <c r="C219" s="128"/>
    </row>
    <row r="220">
      <c r="B220" s="128"/>
      <c r="C220" s="128"/>
    </row>
    <row r="221">
      <c r="B221" s="128"/>
      <c r="C221" s="128"/>
    </row>
    <row r="222">
      <c r="B222" s="128"/>
      <c r="C222" s="128"/>
    </row>
    <row r="223">
      <c r="B223" s="128"/>
      <c r="C223" s="128"/>
    </row>
    <row r="224">
      <c r="B224" s="128"/>
      <c r="C224" s="128"/>
    </row>
    <row r="225">
      <c r="B225" s="128"/>
      <c r="C225" s="128"/>
    </row>
    <row r="226">
      <c r="B226" s="128"/>
      <c r="C226" s="128"/>
    </row>
    <row r="227">
      <c r="B227" s="128"/>
      <c r="C227" s="128"/>
    </row>
    <row r="228">
      <c r="B228" s="128"/>
      <c r="C228" s="128"/>
    </row>
    <row r="229">
      <c r="B229" s="128"/>
      <c r="C229" s="128"/>
    </row>
    <row r="230">
      <c r="B230" s="128"/>
      <c r="C230" s="128"/>
    </row>
    <row r="231">
      <c r="B231" s="128"/>
      <c r="C231" s="128"/>
    </row>
    <row r="232">
      <c r="B232" s="128"/>
      <c r="C232" s="128"/>
    </row>
    <row r="233">
      <c r="B233" s="128"/>
      <c r="C233" s="128"/>
    </row>
    <row r="234">
      <c r="B234" s="128"/>
      <c r="C234" s="128"/>
    </row>
    <row r="235">
      <c r="B235" s="128"/>
      <c r="C235" s="128"/>
    </row>
    <row r="236">
      <c r="B236" s="128"/>
      <c r="C236" s="128"/>
    </row>
    <row r="237">
      <c r="B237" s="128"/>
      <c r="C237" s="128"/>
    </row>
    <row r="238">
      <c r="B238" s="128"/>
      <c r="C238" s="128"/>
    </row>
    <row r="239">
      <c r="B239" s="128"/>
      <c r="C239" s="128"/>
    </row>
    <row r="240">
      <c r="B240" s="128"/>
      <c r="C240" s="128"/>
    </row>
    <row r="241">
      <c r="B241" s="128"/>
      <c r="C241" s="128"/>
    </row>
    <row r="242">
      <c r="B242" s="128"/>
      <c r="C242" s="128"/>
    </row>
    <row r="243">
      <c r="B243" s="128"/>
      <c r="C243" s="128"/>
    </row>
    <row r="244">
      <c r="B244" s="128"/>
      <c r="C244" s="128"/>
    </row>
    <row r="245">
      <c r="B245" s="128"/>
      <c r="C245" s="128"/>
    </row>
    <row r="246">
      <c r="B246" s="128"/>
      <c r="C246" s="128"/>
    </row>
    <row r="247">
      <c r="B247" s="128"/>
      <c r="C247" s="128"/>
    </row>
    <row r="248">
      <c r="B248" s="128"/>
      <c r="C248" s="128"/>
    </row>
    <row r="249">
      <c r="B249" s="128"/>
      <c r="C249" s="128"/>
    </row>
    <row r="250">
      <c r="B250" s="128"/>
      <c r="C250" s="128"/>
    </row>
    <row r="251">
      <c r="B251" s="128"/>
      <c r="C251" s="128"/>
    </row>
    <row r="252">
      <c r="B252" s="128"/>
      <c r="C252" s="128"/>
    </row>
    <row r="253">
      <c r="B253" s="128"/>
      <c r="C253" s="128"/>
    </row>
    <row r="254">
      <c r="B254" s="128"/>
      <c r="C254" s="128"/>
    </row>
    <row r="255">
      <c r="B255" s="128"/>
      <c r="C255" s="128"/>
    </row>
    <row r="256">
      <c r="B256" s="128"/>
      <c r="C256" s="128"/>
    </row>
    <row r="257">
      <c r="B257" s="128"/>
      <c r="C257" s="128"/>
    </row>
    <row r="258">
      <c r="B258" s="128"/>
      <c r="C258" s="128"/>
    </row>
    <row r="259">
      <c r="B259" s="128"/>
      <c r="C259" s="128"/>
    </row>
    <row r="260">
      <c r="B260" s="128"/>
      <c r="C260" s="128"/>
    </row>
    <row r="261">
      <c r="B261" s="128"/>
      <c r="C261" s="128"/>
    </row>
    <row r="262">
      <c r="B262" s="128"/>
      <c r="C262" s="128"/>
    </row>
    <row r="263">
      <c r="B263" s="128"/>
      <c r="C263" s="128"/>
    </row>
    <row r="264">
      <c r="B264" s="128"/>
      <c r="C264" s="128"/>
    </row>
    <row r="265">
      <c r="B265" s="128"/>
      <c r="C265" s="128"/>
    </row>
    <row r="266">
      <c r="B266" s="128"/>
      <c r="C266" s="128"/>
    </row>
    <row r="267">
      <c r="B267" s="128"/>
      <c r="C267" s="128"/>
    </row>
    <row r="268">
      <c r="B268" s="128"/>
      <c r="C268" s="128"/>
    </row>
    <row r="269">
      <c r="B269" s="128"/>
      <c r="C269" s="128"/>
    </row>
    <row r="270">
      <c r="B270" s="128"/>
      <c r="C270" s="128"/>
    </row>
    <row r="271">
      <c r="B271" s="128"/>
      <c r="C271" s="128"/>
    </row>
    <row r="272">
      <c r="B272" s="128"/>
      <c r="C272" s="128"/>
    </row>
    <row r="273">
      <c r="B273" s="128"/>
      <c r="C273" s="128"/>
    </row>
    <row r="274">
      <c r="B274" s="128"/>
      <c r="C274" s="128"/>
    </row>
    <row r="275">
      <c r="B275" s="128"/>
      <c r="C275" s="128"/>
    </row>
    <row r="276">
      <c r="B276" s="128"/>
      <c r="C276" s="128"/>
    </row>
    <row r="277">
      <c r="B277" s="128"/>
      <c r="C277" s="128"/>
    </row>
    <row r="278">
      <c r="B278" s="128"/>
      <c r="C278" s="128"/>
    </row>
    <row r="279">
      <c r="B279" s="128"/>
      <c r="C279" s="128"/>
    </row>
    <row r="280">
      <c r="B280" s="128"/>
      <c r="C280" s="128"/>
    </row>
    <row r="281">
      <c r="B281" s="128"/>
      <c r="C281" s="128"/>
    </row>
    <row r="282">
      <c r="B282" s="128"/>
      <c r="C282" s="128"/>
    </row>
    <row r="283">
      <c r="B283" s="128"/>
      <c r="C283" s="128"/>
    </row>
    <row r="284">
      <c r="B284" s="128"/>
      <c r="C284" s="128"/>
    </row>
    <row r="285">
      <c r="B285" s="128"/>
      <c r="C285" s="128"/>
    </row>
    <row r="286">
      <c r="B286" s="128"/>
      <c r="C286" s="128"/>
    </row>
    <row r="287">
      <c r="B287" s="128"/>
      <c r="C287" s="128"/>
    </row>
    <row r="288">
      <c r="B288" s="128"/>
      <c r="C288" s="128"/>
    </row>
    <row r="289">
      <c r="B289" s="128"/>
      <c r="C289" s="128"/>
    </row>
    <row r="290">
      <c r="B290" s="128"/>
      <c r="C290" s="128"/>
    </row>
    <row r="291">
      <c r="B291" s="128"/>
      <c r="C291" s="128"/>
    </row>
    <row r="292">
      <c r="B292" s="128"/>
      <c r="C292" s="128"/>
    </row>
    <row r="293">
      <c r="B293" s="128"/>
      <c r="C293" s="128"/>
    </row>
    <row r="294">
      <c r="B294" s="128"/>
      <c r="C294" s="128"/>
    </row>
    <row r="295">
      <c r="B295" s="128"/>
      <c r="C295" s="128"/>
    </row>
    <row r="296">
      <c r="B296" s="128"/>
      <c r="C296" s="128"/>
    </row>
    <row r="297">
      <c r="B297" s="128"/>
      <c r="C297" s="128"/>
    </row>
    <row r="298">
      <c r="B298" s="128"/>
      <c r="C298" s="128"/>
    </row>
    <row r="299">
      <c r="B299" s="128"/>
      <c r="C299" s="128"/>
    </row>
    <row r="300">
      <c r="B300" s="128"/>
      <c r="C300" s="128"/>
    </row>
    <row r="301">
      <c r="B301" s="128"/>
      <c r="C301" s="128"/>
    </row>
    <row r="302">
      <c r="B302" s="128"/>
      <c r="C302" s="128"/>
    </row>
    <row r="303">
      <c r="B303" s="128"/>
      <c r="C303" s="128"/>
    </row>
    <row r="304">
      <c r="B304" s="128"/>
      <c r="C304" s="128"/>
    </row>
    <row r="305">
      <c r="B305" s="128"/>
      <c r="C305" s="128"/>
    </row>
    <row r="306">
      <c r="B306" s="128"/>
      <c r="C306" s="128"/>
    </row>
    <row r="307">
      <c r="B307" s="128"/>
      <c r="C307" s="128"/>
    </row>
    <row r="308">
      <c r="B308" s="128"/>
      <c r="C308" s="128"/>
    </row>
    <row r="309">
      <c r="B309" s="128"/>
      <c r="C309" s="128"/>
    </row>
    <row r="310">
      <c r="B310" s="128"/>
      <c r="C310" s="128"/>
    </row>
    <row r="311">
      <c r="B311" s="128"/>
      <c r="C311" s="128"/>
    </row>
    <row r="312">
      <c r="B312" s="128"/>
      <c r="C312" s="128"/>
    </row>
    <row r="313">
      <c r="B313" s="128"/>
      <c r="C313" s="128"/>
    </row>
    <row r="314">
      <c r="B314" s="128"/>
      <c r="C314" s="128"/>
    </row>
    <row r="315">
      <c r="B315" s="128"/>
      <c r="C315" s="128"/>
    </row>
    <row r="316">
      <c r="B316" s="128"/>
      <c r="C316" s="128"/>
    </row>
    <row r="317">
      <c r="B317" s="128"/>
      <c r="C317" s="128"/>
    </row>
    <row r="318">
      <c r="B318" s="128"/>
      <c r="C318" s="128"/>
    </row>
    <row r="319">
      <c r="B319" s="128"/>
      <c r="C319" s="128"/>
    </row>
    <row r="320">
      <c r="B320" s="128"/>
      <c r="C320" s="128"/>
    </row>
    <row r="321">
      <c r="B321" s="128"/>
      <c r="C321" s="128"/>
    </row>
    <row r="322">
      <c r="B322" s="128"/>
      <c r="C322" s="128"/>
    </row>
    <row r="323">
      <c r="B323" s="128"/>
      <c r="C323" s="128"/>
    </row>
    <row r="324">
      <c r="B324" s="128"/>
      <c r="C324" s="128"/>
    </row>
    <row r="325">
      <c r="B325" s="128"/>
      <c r="C325" s="128"/>
    </row>
    <row r="326">
      <c r="B326" s="128"/>
      <c r="C326" s="128"/>
    </row>
    <row r="327">
      <c r="B327" s="128"/>
      <c r="C327" s="128"/>
    </row>
    <row r="328">
      <c r="B328" s="128"/>
      <c r="C328" s="128"/>
    </row>
    <row r="329">
      <c r="B329" s="128"/>
      <c r="C329" s="128"/>
    </row>
    <row r="330">
      <c r="B330" s="128"/>
      <c r="C330" s="128"/>
    </row>
    <row r="331">
      <c r="B331" s="128"/>
      <c r="C331" s="128"/>
    </row>
    <row r="332">
      <c r="B332" s="128"/>
      <c r="C332" s="128"/>
    </row>
    <row r="333">
      <c r="B333" s="128"/>
      <c r="C333" s="128"/>
    </row>
    <row r="334">
      <c r="B334" s="128"/>
      <c r="C334" s="128"/>
    </row>
    <row r="335">
      <c r="B335" s="128"/>
      <c r="C335" s="128"/>
    </row>
    <row r="336">
      <c r="B336" s="128"/>
      <c r="C336" s="128"/>
    </row>
    <row r="337">
      <c r="B337" s="128"/>
      <c r="C337" s="128"/>
    </row>
    <row r="338">
      <c r="B338" s="128"/>
      <c r="C338" s="128"/>
    </row>
    <row r="339">
      <c r="B339" s="128"/>
      <c r="C339" s="128"/>
    </row>
    <row r="340">
      <c r="B340" s="128"/>
      <c r="C340" s="128"/>
    </row>
    <row r="341">
      <c r="B341" s="128"/>
      <c r="C341" s="128"/>
    </row>
    <row r="342">
      <c r="B342" s="128"/>
      <c r="C342" s="128"/>
    </row>
    <row r="343">
      <c r="B343" s="128"/>
      <c r="C343" s="128"/>
    </row>
    <row r="344">
      <c r="B344" s="128"/>
      <c r="C344" s="128"/>
    </row>
    <row r="345">
      <c r="B345" s="128"/>
      <c r="C345" s="128"/>
    </row>
    <row r="346">
      <c r="B346" s="128"/>
      <c r="C346" s="128"/>
    </row>
    <row r="347">
      <c r="B347" s="128"/>
      <c r="C347" s="128"/>
    </row>
    <row r="348">
      <c r="B348" s="128"/>
      <c r="C348" s="128"/>
    </row>
    <row r="349">
      <c r="B349" s="128"/>
      <c r="C349" s="128"/>
    </row>
    <row r="350">
      <c r="B350" s="128"/>
      <c r="C350" s="128"/>
    </row>
    <row r="351">
      <c r="B351" s="128"/>
      <c r="C351" s="128"/>
    </row>
    <row r="352">
      <c r="B352" s="128"/>
      <c r="C352" s="128"/>
    </row>
    <row r="353">
      <c r="B353" s="128"/>
      <c r="C353" s="128"/>
    </row>
    <row r="354">
      <c r="B354" s="128"/>
      <c r="C354" s="128"/>
    </row>
    <row r="355">
      <c r="B355" s="128"/>
      <c r="C355" s="128"/>
    </row>
    <row r="356">
      <c r="B356" s="128"/>
      <c r="C356" s="128"/>
    </row>
    <row r="357">
      <c r="B357" s="128"/>
      <c r="C357" s="128"/>
    </row>
    <row r="358">
      <c r="B358" s="128"/>
      <c r="C358" s="128"/>
    </row>
    <row r="359">
      <c r="B359" s="128"/>
      <c r="C359" s="128"/>
    </row>
    <row r="360">
      <c r="B360" s="128"/>
      <c r="C360" s="128"/>
    </row>
    <row r="361">
      <c r="B361" s="128"/>
      <c r="C361" s="128"/>
    </row>
    <row r="362">
      <c r="B362" s="128"/>
      <c r="C362" s="128"/>
    </row>
    <row r="363">
      <c r="B363" s="128"/>
      <c r="C363" s="128"/>
    </row>
    <row r="364">
      <c r="B364" s="128"/>
      <c r="C364" s="128"/>
    </row>
    <row r="365">
      <c r="B365" s="128"/>
      <c r="C365" s="128"/>
    </row>
    <row r="366">
      <c r="B366" s="128"/>
      <c r="C366" s="128"/>
    </row>
    <row r="367">
      <c r="B367" s="128"/>
      <c r="C367" s="128"/>
    </row>
    <row r="368">
      <c r="B368" s="128"/>
      <c r="C368" s="128"/>
    </row>
    <row r="369">
      <c r="B369" s="128"/>
      <c r="C369" s="128"/>
    </row>
    <row r="370">
      <c r="B370" s="128"/>
      <c r="C370" s="128"/>
    </row>
    <row r="371">
      <c r="B371" s="128"/>
      <c r="C371" s="128"/>
    </row>
    <row r="372">
      <c r="B372" s="128"/>
      <c r="C372" s="128"/>
    </row>
    <row r="373">
      <c r="B373" s="128"/>
      <c r="C373" s="128"/>
    </row>
    <row r="374">
      <c r="B374" s="128"/>
      <c r="C374" s="128"/>
    </row>
    <row r="375">
      <c r="B375" s="128"/>
      <c r="C375" s="128"/>
    </row>
    <row r="376">
      <c r="B376" s="128"/>
      <c r="C376" s="128"/>
    </row>
    <row r="377">
      <c r="B377" s="128"/>
      <c r="C377" s="128"/>
    </row>
    <row r="378">
      <c r="B378" s="128"/>
      <c r="C378" s="128"/>
    </row>
    <row r="379">
      <c r="B379" s="128"/>
      <c r="C379" s="128"/>
    </row>
    <row r="380">
      <c r="B380" s="128"/>
      <c r="C380" s="128"/>
    </row>
    <row r="381">
      <c r="B381" s="128"/>
      <c r="C381" s="128"/>
    </row>
    <row r="382">
      <c r="B382" s="128"/>
      <c r="C382" s="128"/>
    </row>
    <row r="383">
      <c r="B383" s="128"/>
      <c r="C383" s="128"/>
    </row>
    <row r="384">
      <c r="B384" s="128"/>
      <c r="C384" s="128"/>
    </row>
    <row r="385">
      <c r="B385" s="128"/>
      <c r="C385" s="128"/>
    </row>
    <row r="386">
      <c r="B386" s="128"/>
      <c r="C386" s="128"/>
    </row>
    <row r="387">
      <c r="B387" s="128"/>
      <c r="C387" s="128"/>
    </row>
    <row r="388">
      <c r="B388" s="128"/>
      <c r="C388" s="128"/>
    </row>
    <row r="389">
      <c r="B389" s="128"/>
      <c r="C389" s="128"/>
    </row>
    <row r="390">
      <c r="B390" s="128"/>
      <c r="C390" s="128"/>
    </row>
    <row r="391">
      <c r="B391" s="128"/>
      <c r="C391" s="128"/>
    </row>
    <row r="392">
      <c r="B392" s="128"/>
      <c r="C392" s="128"/>
    </row>
    <row r="393">
      <c r="B393" s="128"/>
      <c r="C393" s="128"/>
    </row>
    <row r="394">
      <c r="B394" s="128"/>
      <c r="C394" s="128"/>
    </row>
    <row r="395">
      <c r="B395" s="128"/>
      <c r="C395" s="128"/>
    </row>
    <row r="396">
      <c r="B396" s="128"/>
      <c r="C396" s="128"/>
    </row>
    <row r="397">
      <c r="B397" s="128"/>
      <c r="C397" s="128"/>
    </row>
    <row r="398">
      <c r="B398" s="128"/>
      <c r="C398" s="128"/>
    </row>
    <row r="399">
      <c r="B399" s="128"/>
      <c r="C399" s="128"/>
    </row>
    <row r="400">
      <c r="B400" s="128"/>
      <c r="C400" s="128"/>
    </row>
    <row r="401">
      <c r="B401" s="128"/>
      <c r="C401" s="128"/>
    </row>
    <row r="402">
      <c r="B402" s="128"/>
      <c r="C402" s="128"/>
    </row>
    <row r="403">
      <c r="B403" s="128"/>
      <c r="C403" s="128"/>
    </row>
    <row r="404">
      <c r="B404" s="128"/>
      <c r="C404" s="128"/>
    </row>
    <row r="405">
      <c r="B405" s="128"/>
      <c r="C405" s="128"/>
    </row>
    <row r="406">
      <c r="B406" s="128"/>
      <c r="C406" s="128"/>
    </row>
    <row r="407">
      <c r="B407" s="128"/>
      <c r="C407" s="128"/>
    </row>
    <row r="408">
      <c r="B408" s="128"/>
      <c r="C408" s="128"/>
    </row>
    <row r="409">
      <c r="B409" s="128"/>
      <c r="C409" s="128"/>
    </row>
    <row r="410">
      <c r="B410" s="128"/>
      <c r="C410" s="128"/>
    </row>
    <row r="411">
      <c r="B411" s="128"/>
      <c r="C411" s="128"/>
    </row>
    <row r="412">
      <c r="B412" s="128"/>
      <c r="C412" s="128"/>
    </row>
    <row r="413">
      <c r="B413" s="128"/>
      <c r="C413" s="128"/>
    </row>
    <row r="414">
      <c r="B414" s="128"/>
      <c r="C414" s="128"/>
    </row>
    <row r="415">
      <c r="B415" s="128"/>
      <c r="C415" s="128"/>
    </row>
    <row r="416">
      <c r="B416" s="128"/>
      <c r="C416" s="128"/>
    </row>
    <row r="417">
      <c r="B417" s="128"/>
      <c r="C417" s="128"/>
    </row>
    <row r="418">
      <c r="B418" s="128"/>
      <c r="C418" s="128"/>
    </row>
    <row r="419">
      <c r="B419" s="128"/>
      <c r="C419" s="128"/>
    </row>
    <row r="420">
      <c r="B420" s="128"/>
      <c r="C420" s="128"/>
    </row>
    <row r="421">
      <c r="B421" s="128"/>
      <c r="C421" s="128"/>
    </row>
    <row r="422">
      <c r="B422" s="128"/>
      <c r="C422" s="128"/>
    </row>
    <row r="423">
      <c r="B423" s="128"/>
      <c r="C423" s="128"/>
    </row>
    <row r="424">
      <c r="B424" s="128"/>
      <c r="C424" s="128"/>
    </row>
    <row r="425">
      <c r="B425" s="128"/>
      <c r="C425" s="128"/>
    </row>
    <row r="426">
      <c r="B426" s="128"/>
      <c r="C426" s="128"/>
    </row>
    <row r="427">
      <c r="B427" s="128"/>
      <c r="C427" s="128"/>
    </row>
    <row r="428">
      <c r="B428" s="128"/>
      <c r="C428" s="128"/>
    </row>
    <row r="429">
      <c r="B429" s="128"/>
      <c r="C429" s="128"/>
    </row>
    <row r="430">
      <c r="B430" s="128"/>
      <c r="C430" s="128"/>
    </row>
    <row r="431">
      <c r="B431" s="128"/>
      <c r="C431" s="128"/>
    </row>
    <row r="432">
      <c r="B432" s="128"/>
      <c r="C432" s="128"/>
    </row>
    <row r="433">
      <c r="B433" s="128"/>
      <c r="C433" s="128"/>
    </row>
    <row r="434">
      <c r="B434" s="128"/>
      <c r="C434" s="128"/>
    </row>
    <row r="435">
      <c r="B435" s="128"/>
      <c r="C435" s="128"/>
    </row>
    <row r="436">
      <c r="B436" s="128"/>
      <c r="C436" s="128"/>
    </row>
    <row r="437">
      <c r="B437" s="128"/>
      <c r="C437" s="128"/>
    </row>
    <row r="438">
      <c r="B438" s="128"/>
      <c r="C438" s="128"/>
    </row>
    <row r="439">
      <c r="B439" s="128"/>
      <c r="C439" s="128"/>
    </row>
    <row r="440">
      <c r="B440" s="128"/>
      <c r="C440" s="128"/>
    </row>
    <row r="441">
      <c r="B441" s="128"/>
      <c r="C441" s="128"/>
    </row>
    <row r="442">
      <c r="B442" s="128"/>
      <c r="C442" s="128"/>
    </row>
    <row r="443">
      <c r="B443" s="128"/>
      <c r="C443" s="128"/>
    </row>
    <row r="444">
      <c r="B444" s="128"/>
      <c r="C444" s="128"/>
    </row>
    <row r="445">
      <c r="B445" s="128"/>
      <c r="C445" s="128"/>
    </row>
    <row r="446">
      <c r="B446" s="128"/>
      <c r="C446" s="128"/>
    </row>
    <row r="447">
      <c r="B447" s="128"/>
      <c r="C447" s="128"/>
    </row>
    <row r="448">
      <c r="B448" s="128"/>
      <c r="C448" s="128"/>
    </row>
    <row r="449">
      <c r="B449" s="128"/>
      <c r="C449" s="128"/>
    </row>
    <row r="450">
      <c r="B450" s="128"/>
      <c r="C450" s="128"/>
    </row>
    <row r="451">
      <c r="B451" s="128"/>
      <c r="C451" s="128"/>
    </row>
    <row r="452">
      <c r="B452" s="128"/>
      <c r="C452" s="128"/>
    </row>
    <row r="453">
      <c r="B453" s="128"/>
      <c r="C453" s="128"/>
    </row>
    <row r="454">
      <c r="B454" s="128"/>
      <c r="C454" s="128"/>
    </row>
    <row r="455">
      <c r="B455" s="128"/>
      <c r="C455" s="128"/>
    </row>
    <row r="456">
      <c r="B456" s="128"/>
      <c r="C456" s="128"/>
    </row>
    <row r="457">
      <c r="B457" s="128"/>
      <c r="C457" s="128"/>
    </row>
    <row r="458">
      <c r="B458" s="128"/>
      <c r="C458" s="128"/>
    </row>
    <row r="459">
      <c r="B459" s="128"/>
      <c r="C459" s="128"/>
    </row>
    <row r="460">
      <c r="B460" s="128"/>
      <c r="C460" s="128"/>
    </row>
    <row r="461">
      <c r="B461" s="128"/>
      <c r="C461" s="128"/>
    </row>
    <row r="462">
      <c r="B462" s="128"/>
      <c r="C462" s="128"/>
    </row>
    <row r="463">
      <c r="B463" s="128"/>
      <c r="C463" s="128"/>
    </row>
    <row r="464">
      <c r="B464" s="128"/>
      <c r="C464" s="128"/>
    </row>
    <row r="465">
      <c r="B465" s="128"/>
      <c r="C465" s="128"/>
    </row>
    <row r="466">
      <c r="B466" s="128"/>
      <c r="C466" s="128"/>
    </row>
    <row r="467">
      <c r="B467" s="128"/>
      <c r="C467" s="128"/>
    </row>
    <row r="468">
      <c r="B468" s="128"/>
      <c r="C468" s="128"/>
    </row>
    <row r="469">
      <c r="B469" s="128"/>
      <c r="C469" s="128"/>
    </row>
    <row r="470">
      <c r="B470" s="128"/>
      <c r="C470" s="128"/>
    </row>
    <row r="471">
      <c r="B471" s="128"/>
      <c r="C471" s="128"/>
    </row>
    <row r="472">
      <c r="B472" s="128"/>
      <c r="C472" s="128"/>
    </row>
    <row r="473">
      <c r="B473" s="128"/>
      <c r="C473" s="128"/>
    </row>
    <row r="474">
      <c r="B474" s="128"/>
      <c r="C474" s="128"/>
    </row>
    <row r="475">
      <c r="B475" s="128"/>
      <c r="C475" s="128"/>
    </row>
    <row r="476">
      <c r="B476" s="128"/>
      <c r="C476" s="128"/>
    </row>
    <row r="477">
      <c r="B477" s="128"/>
      <c r="C477" s="128"/>
    </row>
    <row r="478">
      <c r="B478" s="128"/>
      <c r="C478" s="128"/>
    </row>
    <row r="479">
      <c r="B479" s="128"/>
      <c r="C479" s="128"/>
    </row>
    <row r="480">
      <c r="B480" s="128"/>
      <c r="C480" s="128"/>
    </row>
    <row r="481">
      <c r="B481" s="128"/>
      <c r="C481" s="128"/>
    </row>
    <row r="482">
      <c r="B482" s="128"/>
      <c r="C482" s="128"/>
    </row>
    <row r="483">
      <c r="B483" s="128"/>
      <c r="C483" s="128"/>
    </row>
    <row r="484">
      <c r="B484" s="128"/>
      <c r="C484" s="128"/>
    </row>
    <row r="485">
      <c r="B485" s="128"/>
      <c r="C485" s="128"/>
    </row>
    <row r="486">
      <c r="B486" s="128"/>
      <c r="C486" s="128"/>
    </row>
    <row r="487">
      <c r="B487" s="128"/>
      <c r="C487" s="128"/>
    </row>
    <row r="488">
      <c r="B488" s="128"/>
      <c r="C488" s="128"/>
    </row>
    <row r="489">
      <c r="B489" s="128"/>
      <c r="C489" s="128"/>
    </row>
    <row r="490">
      <c r="B490" s="128"/>
      <c r="C490" s="128"/>
    </row>
    <row r="491">
      <c r="B491" s="128"/>
      <c r="C491" s="128"/>
    </row>
    <row r="492">
      <c r="B492" s="128"/>
      <c r="C492" s="128"/>
    </row>
    <row r="493">
      <c r="B493" s="128"/>
      <c r="C493" s="128"/>
    </row>
    <row r="494">
      <c r="B494" s="128"/>
      <c r="C494" s="128"/>
    </row>
    <row r="495">
      <c r="B495" s="128"/>
      <c r="C495" s="128"/>
    </row>
    <row r="496">
      <c r="B496" s="128"/>
      <c r="C496" s="128"/>
    </row>
    <row r="497">
      <c r="B497" s="128"/>
      <c r="C497" s="128"/>
    </row>
    <row r="498">
      <c r="B498" s="128"/>
      <c r="C498" s="128"/>
    </row>
    <row r="499">
      <c r="B499" s="128"/>
      <c r="C499" s="128"/>
    </row>
    <row r="500">
      <c r="B500" s="128"/>
      <c r="C500" s="128"/>
    </row>
    <row r="501">
      <c r="B501" s="128"/>
      <c r="C501" s="128"/>
    </row>
    <row r="502">
      <c r="B502" s="128"/>
      <c r="C502" s="128"/>
    </row>
    <row r="503">
      <c r="B503" s="128"/>
      <c r="C503" s="128"/>
    </row>
    <row r="504">
      <c r="B504" s="128"/>
      <c r="C504" s="128"/>
    </row>
    <row r="505">
      <c r="B505" s="128"/>
      <c r="C505" s="128"/>
    </row>
    <row r="506">
      <c r="B506" s="128"/>
      <c r="C506" s="128"/>
    </row>
    <row r="507">
      <c r="B507" s="128"/>
      <c r="C507" s="128"/>
    </row>
    <row r="508">
      <c r="B508" s="128"/>
      <c r="C508" s="128"/>
    </row>
    <row r="509">
      <c r="B509" s="128"/>
      <c r="C509" s="128"/>
    </row>
    <row r="510">
      <c r="B510" s="128"/>
      <c r="C510" s="128"/>
    </row>
    <row r="511">
      <c r="B511" s="128"/>
      <c r="C511" s="128"/>
    </row>
    <row r="512">
      <c r="B512" s="128"/>
      <c r="C512" s="128"/>
    </row>
    <row r="513">
      <c r="B513" s="128"/>
      <c r="C513" s="128"/>
    </row>
    <row r="514">
      <c r="B514" s="128"/>
      <c r="C514" s="128"/>
    </row>
    <row r="515">
      <c r="B515" s="128"/>
      <c r="C515" s="128"/>
    </row>
    <row r="516">
      <c r="B516" s="128"/>
      <c r="C516" s="128"/>
    </row>
    <row r="517">
      <c r="B517" s="128"/>
      <c r="C517" s="128"/>
    </row>
    <row r="518">
      <c r="B518" s="128"/>
      <c r="C518" s="128"/>
    </row>
    <row r="519">
      <c r="B519" s="128"/>
      <c r="C519" s="128"/>
    </row>
    <row r="520">
      <c r="B520" s="128"/>
      <c r="C520" s="128"/>
    </row>
    <row r="521">
      <c r="B521" s="128"/>
      <c r="C521" s="128"/>
    </row>
    <row r="522">
      <c r="B522" s="128"/>
      <c r="C522" s="128"/>
    </row>
    <row r="523">
      <c r="B523" s="128"/>
      <c r="C523" s="128"/>
    </row>
    <row r="524">
      <c r="B524" s="128"/>
      <c r="C524" s="128"/>
    </row>
    <row r="525">
      <c r="B525" s="128"/>
      <c r="C525" s="128"/>
    </row>
    <row r="526">
      <c r="B526" s="128"/>
      <c r="C526" s="128"/>
    </row>
    <row r="527">
      <c r="B527" s="128"/>
      <c r="C527" s="128"/>
    </row>
    <row r="528">
      <c r="B528" s="128"/>
      <c r="C528" s="128"/>
    </row>
    <row r="529">
      <c r="B529" s="128"/>
      <c r="C529" s="128"/>
    </row>
    <row r="530">
      <c r="B530" s="128"/>
      <c r="C530" s="128"/>
    </row>
    <row r="531">
      <c r="B531" s="128"/>
      <c r="C531" s="128"/>
    </row>
    <row r="532">
      <c r="B532" s="128"/>
      <c r="C532" s="128"/>
    </row>
    <row r="533">
      <c r="B533" s="128"/>
      <c r="C533" s="128"/>
    </row>
    <row r="534">
      <c r="B534" s="128"/>
      <c r="C534" s="128"/>
    </row>
    <row r="535">
      <c r="B535" s="128"/>
      <c r="C535" s="128"/>
    </row>
    <row r="536">
      <c r="B536" s="128"/>
      <c r="C536" s="128"/>
    </row>
    <row r="537">
      <c r="B537" s="128"/>
      <c r="C537" s="128"/>
    </row>
    <row r="538">
      <c r="B538" s="128"/>
      <c r="C538" s="128"/>
    </row>
    <row r="539">
      <c r="B539" s="128"/>
      <c r="C539" s="128"/>
    </row>
    <row r="540">
      <c r="B540" s="128"/>
      <c r="C540" s="128"/>
    </row>
    <row r="541">
      <c r="B541" s="128"/>
      <c r="C541" s="128"/>
    </row>
    <row r="542">
      <c r="B542" s="128"/>
      <c r="C542" s="128"/>
    </row>
    <row r="543">
      <c r="B543" s="128"/>
      <c r="C543" s="128"/>
    </row>
    <row r="544">
      <c r="B544" s="128"/>
      <c r="C544" s="128"/>
    </row>
    <row r="545">
      <c r="B545" s="128"/>
      <c r="C545" s="128"/>
    </row>
    <row r="546">
      <c r="B546" s="128"/>
      <c r="C546" s="128"/>
    </row>
    <row r="547">
      <c r="B547" s="128"/>
      <c r="C547" s="128"/>
    </row>
    <row r="548">
      <c r="B548" s="128"/>
      <c r="C548" s="128"/>
    </row>
    <row r="549">
      <c r="B549" s="128"/>
      <c r="C549" s="128"/>
    </row>
    <row r="550">
      <c r="B550" s="128"/>
      <c r="C550" s="128"/>
    </row>
    <row r="551">
      <c r="B551" s="128"/>
      <c r="C551" s="128"/>
    </row>
    <row r="552">
      <c r="B552" s="128"/>
      <c r="C552" s="128"/>
    </row>
    <row r="553">
      <c r="B553" s="128"/>
      <c r="C553" s="128"/>
    </row>
    <row r="554">
      <c r="B554" s="128"/>
      <c r="C554" s="128"/>
    </row>
    <row r="555">
      <c r="B555" s="128"/>
      <c r="C555" s="128"/>
    </row>
    <row r="556">
      <c r="B556" s="128"/>
      <c r="C556" s="128"/>
    </row>
    <row r="557">
      <c r="B557" s="128"/>
      <c r="C557" s="128"/>
    </row>
    <row r="558">
      <c r="B558" s="128"/>
      <c r="C558" s="128"/>
    </row>
    <row r="559">
      <c r="B559" s="128"/>
      <c r="C559" s="128"/>
    </row>
    <row r="560">
      <c r="B560" s="128"/>
      <c r="C560" s="128"/>
    </row>
    <row r="561">
      <c r="B561" s="128"/>
      <c r="C561" s="128"/>
    </row>
    <row r="562">
      <c r="B562" s="128"/>
      <c r="C562" s="128"/>
    </row>
    <row r="563">
      <c r="B563" s="128"/>
      <c r="C563" s="128"/>
    </row>
    <row r="564">
      <c r="B564" s="128"/>
      <c r="C564" s="128"/>
    </row>
    <row r="565">
      <c r="B565" s="128"/>
      <c r="C565" s="128"/>
    </row>
    <row r="566">
      <c r="B566" s="128"/>
      <c r="C566" s="128"/>
    </row>
    <row r="567">
      <c r="B567" s="128"/>
      <c r="C567" s="128"/>
    </row>
    <row r="568">
      <c r="B568" s="128"/>
      <c r="C568" s="128"/>
    </row>
    <row r="569">
      <c r="B569" s="128"/>
      <c r="C569" s="128"/>
    </row>
    <row r="570">
      <c r="B570" s="128"/>
      <c r="C570" s="128"/>
    </row>
    <row r="571">
      <c r="B571" s="128"/>
      <c r="C571" s="128"/>
    </row>
    <row r="572">
      <c r="B572" s="128"/>
      <c r="C572" s="128"/>
    </row>
    <row r="573">
      <c r="B573" s="128"/>
      <c r="C573" s="128"/>
    </row>
    <row r="574">
      <c r="B574" s="128"/>
      <c r="C574" s="128"/>
    </row>
    <row r="575">
      <c r="B575" s="128"/>
      <c r="C575" s="128"/>
    </row>
    <row r="576">
      <c r="B576" s="128"/>
      <c r="C576" s="128"/>
    </row>
    <row r="577">
      <c r="B577" s="128"/>
      <c r="C577" s="128"/>
    </row>
    <row r="578">
      <c r="B578" s="128"/>
      <c r="C578" s="128"/>
    </row>
    <row r="579">
      <c r="B579" s="128"/>
      <c r="C579" s="128"/>
    </row>
    <row r="580">
      <c r="B580" s="128"/>
      <c r="C580" s="128"/>
    </row>
    <row r="581">
      <c r="B581" s="128"/>
      <c r="C581" s="128"/>
    </row>
    <row r="582">
      <c r="B582" s="128"/>
      <c r="C582" s="128"/>
    </row>
    <row r="583">
      <c r="B583" s="128"/>
      <c r="C583" s="128"/>
    </row>
    <row r="584">
      <c r="B584" s="128"/>
      <c r="C584" s="128"/>
    </row>
    <row r="585">
      <c r="B585" s="128"/>
      <c r="C585" s="128"/>
    </row>
    <row r="586">
      <c r="B586" s="128"/>
      <c r="C586" s="128"/>
    </row>
    <row r="587">
      <c r="B587" s="128"/>
      <c r="C587" s="128"/>
    </row>
    <row r="588">
      <c r="B588" s="128"/>
      <c r="C588" s="128"/>
    </row>
    <row r="589">
      <c r="B589" s="128"/>
      <c r="C589" s="128"/>
    </row>
    <row r="590">
      <c r="B590" s="128"/>
      <c r="C590" s="128"/>
    </row>
    <row r="591">
      <c r="B591" s="128"/>
      <c r="C591" s="128"/>
    </row>
    <row r="592">
      <c r="B592" s="128"/>
      <c r="C592" s="128"/>
    </row>
    <row r="593">
      <c r="B593" s="128"/>
      <c r="C593" s="128"/>
    </row>
    <row r="594">
      <c r="B594" s="128"/>
      <c r="C594" s="128"/>
    </row>
    <row r="595">
      <c r="B595" s="128"/>
      <c r="C595" s="128"/>
    </row>
    <row r="596">
      <c r="B596" s="128"/>
      <c r="C596" s="128"/>
    </row>
    <row r="597">
      <c r="B597" s="128"/>
      <c r="C597" s="128"/>
    </row>
    <row r="598">
      <c r="B598" s="128"/>
      <c r="C598" s="128"/>
    </row>
    <row r="599">
      <c r="B599" s="128"/>
      <c r="C599" s="128"/>
    </row>
    <row r="600">
      <c r="B600" s="128"/>
      <c r="C600" s="128"/>
    </row>
    <row r="601">
      <c r="B601" s="128"/>
      <c r="C601" s="128"/>
    </row>
    <row r="602">
      <c r="B602" s="128"/>
      <c r="C602" s="128"/>
    </row>
    <row r="603">
      <c r="B603" s="128"/>
      <c r="C603" s="128"/>
    </row>
    <row r="604">
      <c r="B604" s="128"/>
      <c r="C604" s="128"/>
    </row>
    <row r="605">
      <c r="B605" s="128"/>
      <c r="C605" s="128"/>
    </row>
    <row r="606">
      <c r="B606" s="128"/>
      <c r="C606" s="128"/>
    </row>
    <row r="607">
      <c r="B607" s="128"/>
      <c r="C607" s="128"/>
    </row>
    <row r="608">
      <c r="B608" s="128"/>
      <c r="C608" s="128"/>
    </row>
    <row r="609">
      <c r="B609" s="128"/>
      <c r="C609" s="128"/>
    </row>
    <row r="610">
      <c r="B610" s="128"/>
      <c r="C610" s="128"/>
    </row>
    <row r="611">
      <c r="B611" s="128"/>
      <c r="C611" s="128"/>
    </row>
    <row r="612">
      <c r="B612" s="128"/>
      <c r="C612" s="128"/>
    </row>
    <row r="613">
      <c r="B613" s="128"/>
      <c r="C613" s="128"/>
    </row>
    <row r="614">
      <c r="B614" s="128"/>
      <c r="C614" s="128"/>
    </row>
    <row r="615">
      <c r="B615" s="128"/>
      <c r="C615" s="128"/>
    </row>
    <row r="616">
      <c r="B616" s="128"/>
      <c r="C616" s="128"/>
    </row>
    <row r="617">
      <c r="B617" s="128"/>
      <c r="C617" s="128"/>
    </row>
    <row r="618">
      <c r="B618" s="128"/>
      <c r="C618" s="128"/>
    </row>
    <row r="619">
      <c r="B619" s="128"/>
      <c r="C619" s="128"/>
    </row>
    <row r="620">
      <c r="B620" s="128"/>
      <c r="C620" s="128"/>
    </row>
    <row r="621">
      <c r="B621" s="128"/>
      <c r="C621" s="128"/>
    </row>
    <row r="622">
      <c r="B622" s="128"/>
      <c r="C622" s="128"/>
    </row>
    <row r="623">
      <c r="B623" s="128"/>
      <c r="C623" s="128"/>
    </row>
    <row r="624">
      <c r="B624" s="128"/>
      <c r="C624" s="128"/>
    </row>
    <row r="625">
      <c r="B625" s="128"/>
      <c r="C625" s="128"/>
    </row>
    <row r="626">
      <c r="B626" s="128"/>
      <c r="C626" s="128"/>
    </row>
    <row r="627">
      <c r="B627" s="128"/>
      <c r="C627" s="128"/>
    </row>
    <row r="628">
      <c r="B628" s="128"/>
      <c r="C628" s="128"/>
    </row>
    <row r="629">
      <c r="B629" s="128"/>
      <c r="C629" s="128"/>
    </row>
    <row r="630">
      <c r="B630" s="128"/>
      <c r="C630" s="128"/>
    </row>
    <row r="631">
      <c r="B631" s="128"/>
      <c r="C631" s="128"/>
    </row>
    <row r="632">
      <c r="B632" s="128"/>
      <c r="C632" s="128"/>
    </row>
    <row r="633">
      <c r="B633" s="128"/>
      <c r="C633" s="128"/>
    </row>
    <row r="634">
      <c r="B634" s="128"/>
      <c r="C634" s="128"/>
    </row>
    <row r="635">
      <c r="B635" s="128"/>
      <c r="C635" s="128"/>
    </row>
    <row r="636">
      <c r="B636" s="128"/>
      <c r="C636" s="128"/>
    </row>
    <row r="637">
      <c r="B637" s="128"/>
      <c r="C637" s="128"/>
    </row>
    <row r="638">
      <c r="B638" s="128"/>
      <c r="C638" s="128"/>
    </row>
    <row r="639">
      <c r="B639" s="128"/>
      <c r="C639" s="128"/>
    </row>
    <row r="640">
      <c r="B640" s="128"/>
      <c r="C640" s="128"/>
    </row>
    <row r="641">
      <c r="B641" s="128"/>
      <c r="C641" s="128"/>
    </row>
    <row r="642">
      <c r="B642" s="128"/>
      <c r="C642" s="128"/>
    </row>
    <row r="643">
      <c r="B643" s="128"/>
      <c r="C643" s="128"/>
    </row>
    <row r="644">
      <c r="B644" s="128"/>
      <c r="C644" s="128"/>
    </row>
    <row r="645">
      <c r="B645" s="128"/>
      <c r="C645" s="128"/>
    </row>
    <row r="646">
      <c r="B646" s="128"/>
      <c r="C646" s="128"/>
    </row>
    <row r="647">
      <c r="B647" s="128"/>
      <c r="C647" s="128"/>
    </row>
    <row r="648">
      <c r="B648" s="128"/>
      <c r="C648" s="128"/>
    </row>
    <row r="649">
      <c r="B649" s="128"/>
      <c r="C649" s="128"/>
    </row>
    <row r="650">
      <c r="B650" s="128"/>
      <c r="C650" s="128"/>
    </row>
    <row r="651">
      <c r="B651" s="128"/>
      <c r="C651" s="128"/>
    </row>
    <row r="652">
      <c r="B652" s="128"/>
      <c r="C652" s="128"/>
    </row>
    <row r="653">
      <c r="B653" s="128"/>
      <c r="C653" s="128"/>
    </row>
    <row r="654">
      <c r="B654" s="128"/>
      <c r="C654" s="128"/>
    </row>
    <row r="655">
      <c r="B655" s="128"/>
      <c r="C655" s="128"/>
    </row>
    <row r="656">
      <c r="B656" s="128"/>
      <c r="C656" s="128"/>
    </row>
    <row r="657">
      <c r="B657" s="128"/>
      <c r="C657" s="128"/>
    </row>
    <row r="658">
      <c r="B658" s="128"/>
      <c r="C658" s="128"/>
    </row>
    <row r="659">
      <c r="B659" s="128"/>
      <c r="C659" s="128"/>
    </row>
    <row r="660">
      <c r="B660" s="128"/>
      <c r="C660" s="128"/>
    </row>
    <row r="661">
      <c r="B661" s="128"/>
      <c r="C661" s="128"/>
    </row>
    <row r="662">
      <c r="B662" s="128"/>
      <c r="C662" s="128"/>
    </row>
    <row r="663">
      <c r="B663" s="128"/>
      <c r="C663" s="128"/>
    </row>
    <row r="664">
      <c r="B664" s="128"/>
      <c r="C664" s="128"/>
    </row>
    <row r="665">
      <c r="B665" s="128"/>
      <c r="C665" s="128"/>
    </row>
    <row r="666">
      <c r="B666" s="128"/>
      <c r="C666" s="128"/>
    </row>
    <row r="667">
      <c r="B667" s="128"/>
      <c r="C667" s="128"/>
    </row>
    <row r="668">
      <c r="B668" s="128"/>
      <c r="C668" s="128"/>
    </row>
    <row r="669">
      <c r="B669" s="128"/>
      <c r="C669" s="128"/>
    </row>
    <row r="670">
      <c r="B670" s="128"/>
      <c r="C670" s="128"/>
    </row>
    <row r="671">
      <c r="B671" s="128"/>
      <c r="C671" s="128"/>
    </row>
    <row r="672">
      <c r="B672" s="128"/>
      <c r="C672" s="128"/>
    </row>
    <row r="673">
      <c r="B673" s="128"/>
      <c r="C673" s="128"/>
    </row>
    <row r="674">
      <c r="B674" s="128"/>
      <c r="C674" s="128"/>
    </row>
    <row r="675">
      <c r="B675" s="128"/>
      <c r="C675" s="128"/>
    </row>
    <row r="676">
      <c r="B676" s="128"/>
      <c r="C676" s="128"/>
    </row>
    <row r="677">
      <c r="B677" s="128"/>
      <c r="C677" s="128"/>
    </row>
    <row r="678">
      <c r="B678" s="128"/>
      <c r="C678" s="128"/>
    </row>
    <row r="679">
      <c r="B679" s="128"/>
      <c r="C679" s="128"/>
    </row>
    <row r="680">
      <c r="B680" s="128"/>
      <c r="C680" s="128"/>
    </row>
    <row r="681">
      <c r="B681" s="128"/>
      <c r="C681" s="128"/>
    </row>
    <row r="682">
      <c r="B682" s="128"/>
      <c r="C682" s="128"/>
    </row>
    <row r="683">
      <c r="B683" s="128"/>
      <c r="C683" s="128"/>
    </row>
    <row r="684">
      <c r="B684" s="128"/>
      <c r="C684" s="128"/>
    </row>
    <row r="685">
      <c r="B685" s="128"/>
      <c r="C685" s="128"/>
    </row>
    <row r="686">
      <c r="B686" s="128"/>
      <c r="C686" s="128"/>
    </row>
    <row r="687">
      <c r="B687" s="128"/>
      <c r="C687" s="128"/>
    </row>
    <row r="688">
      <c r="B688" s="128"/>
      <c r="C688" s="128"/>
    </row>
    <row r="689">
      <c r="B689" s="128"/>
      <c r="C689" s="128"/>
    </row>
    <row r="690">
      <c r="B690" s="128"/>
      <c r="C690" s="128"/>
    </row>
    <row r="691">
      <c r="B691" s="128"/>
      <c r="C691" s="128"/>
    </row>
    <row r="692">
      <c r="B692" s="128"/>
      <c r="C692" s="128"/>
    </row>
    <row r="693">
      <c r="B693" s="128"/>
      <c r="C693" s="128"/>
    </row>
    <row r="694">
      <c r="B694" s="128"/>
      <c r="C694" s="128"/>
    </row>
    <row r="695">
      <c r="B695" s="128"/>
      <c r="C695" s="128"/>
    </row>
    <row r="696">
      <c r="B696" s="128"/>
      <c r="C696" s="128"/>
    </row>
    <row r="697">
      <c r="B697" s="128"/>
      <c r="C697" s="128"/>
    </row>
    <row r="698">
      <c r="B698" s="128"/>
      <c r="C698" s="128"/>
    </row>
    <row r="699">
      <c r="B699" s="128"/>
      <c r="C699" s="128"/>
    </row>
    <row r="700">
      <c r="B700" s="128"/>
      <c r="C700" s="128"/>
    </row>
    <row r="701">
      <c r="B701" s="128"/>
      <c r="C701" s="128"/>
    </row>
    <row r="702">
      <c r="B702" s="128"/>
      <c r="C702" s="128"/>
    </row>
    <row r="703">
      <c r="B703" s="128"/>
      <c r="C703" s="128"/>
    </row>
    <row r="704">
      <c r="B704" s="128"/>
      <c r="C704" s="128"/>
    </row>
    <row r="705">
      <c r="B705" s="128"/>
      <c r="C705" s="128"/>
    </row>
    <row r="706">
      <c r="B706" s="128"/>
      <c r="C706" s="128"/>
    </row>
    <row r="707">
      <c r="B707" s="128"/>
      <c r="C707" s="128"/>
    </row>
    <row r="708">
      <c r="B708" s="128"/>
      <c r="C708" s="128"/>
    </row>
    <row r="709">
      <c r="B709" s="128"/>
      <c r="C709" s="128"/>
    </row>
    <row r="710">
      <c r="B710" s="128"/>
      <c r="C710" s="128"/>
    </row>
    <row r="711">
      <c r="B711" s="128"/>
      <c r="C711" s="128"/>
    </row>
    <row r="712">
      <c r="B712" s="128"/>
      <c r="C712" s="128"/>
    </row>
    <row r="713">
      <c r="B713" s="128"/>
      <c r="C713" s="128"/>
    </row>
    <row r="714">
      <c r="B714" s="128"/>
      <c r="C714" s="128"/>
    </row>
    <row r="715">
      <c r="B715" s="128"/>
      <c r="C715" s="128"/>
    </row>
    <row r="716">
      <c r="B716" s="128"/>
      <c r="C716" s="128"/>
    </row>
    <row r="717">
      <c r="B717" s="128"/>
      <c r="C717" s="128"/>
    </row>
    <row r="718">
      <c r="B718" s="128"/>
      <c r="C718" s="128"/>
    </row>
    <row r="719">
      <c r="B719" s="128"/>
      <c r="C719" s="128"/>
    </row>
    <row r="720">
      <c r="B720" s="128"/>
      <c r="C720" s="128"/>
    </row>
    <row r="721">
      <c r="B721" s="128"/>
      <c r="C721" s="128"/>
    </row>
    <row r="722">
      <c r="B722" s="128"/>
      <c r="C722" s="128"/>
    </row>
    <row r="723">
      <c r="B723" s="128"/>
      <c r="C723" s="128"/>
    </row>
    <row r="724">
      <c r="B724" s="128"/>
      <c r="C724" s="128"/>
    </row>
    <row r="725">
      <c r="B725" s="128"/>
      <c r="C725" s="128"/>
    </row>
    <row r="726">
      <c r="B726" s="128"/>
      <c r="C726" s="128"/>
    </row>
    <row r="727">
      <c r="B727" s="128"/>
      <c r="C727" s="128"/>
    </row>
    <row r="728">
      <c r="B728" s="128"/>
      <c r="C728" s="128"/>
    </row>
    <row r="729">
      <c r="B729" s="128"/>
      <c r="C729" s="128"/>
    </row>
    <row r="730">
      <c r="B730" s="128"/>
      <c r="C730" s="128"/>
    </row>
    <row r="731">
      <c r="B731" s="128"/>
      <c r="C731" s="128"/>
    </row>
    <row r="732">
      <c r="B732" s="128"/>
      <c r="C732" s="128"/>
    </row>
    <row r="733">
      <c r="B733" s="128"/>
      <c r="C733" s="128"/>
    </row>
    <row r="734">
      <c r="B734" s="128"/>
      <c r="C734" s="128"/>
    </row>
    <row r="735">
      <c r="B735" s="128"/>
      <c r="C735" s="128"/>
    </row>
    <row r="736">
      <c r="B736" s="128"/>
      <c r="C736" s="128"/>
    </row>
    <row r="737">
      <c r="B737" s="128"/>
      <c r="C737" s="128"/>
    </row>
    <row r="738">
      <c r="B738" s="128"/>
      <c r="C738" s="128"/>
    </row>
    <row r="739">
      <c r="B739" s="128"/>
      <c r="C739" s="128"/>
    </row>
    <row r="740">
      <c r="B740" s="128"/>
      <c r="C740" s="128"/>
    </row>
    <row r="741">
      <c r="B741" s="128"/>
      <c r="C741" s="128"/>
    </row>
    <row r="742">
      <c r="B742" s="128"/>
      <c r="C742" s="128"/>
    </row>
    <row r="743">
      <c r="B743" s="128"/>
      <c r="C743" s="128"/>
    </row>
    <row r="744">
      <c r="B744" s="128"/>
      <c r="C744" s="128"/>
    </row>
    <row r="745">
      <c r="B745" s="128"/>
      <c r="C745" s="128"/>
    </row>
    <row r="746">
      <c r="B746" s="128"/>
      <c r="C746" s="128"/>
    </row>
    <row r="747">
      <c r="B747" s="128"/>
      <c r="C747" s="128"/>
    </row>
    <row r="748">
      <c r="B748" s="128"/>
      <c r="C748" s="128"/>
    </row>
    <row r="749">
      <c r="B749" s="128"/>
      <c r="C749" s="128"/>
    </row>
    <row r="750">
      <c r="B750" s="128"/>
      <c r="C750" s="128"/>
    </row>
    <row r="751">
      <c r="B751" s="128"/>
      <c r="C751" s="128"/>
    </row>
    <row r="752">
      <c r="B752" s="128"/>
      <c r="C752" s="128"/>
    </row>
    <row r="753">
      <c r="B753" s="128"/>
      <c r="C753" s="128"/>
    </row>
    <row r="754">
      <c r="B754" s="128"/>
      <c r="C754" s="128"/>
    </row>
    <row r="755">
      <c r="B755" s="128"/>
      <c r="C755" s="128"/>
    </row>
    <row r="756">
      <c r="B756" s="128"/>
      <c r="C756" s="128"/>
    </row>
    <row r="757">
      <c r="B757" s="128"/>
      <c r="C757" s="128"/>
    </row>
    <row r="758">
      <c r="B758" s="128"/>
      <c r="C758" s="128"/>
    </row>
    <row r="759">
      <c r="B759" s="128"/>
      <c r="C759" s="128"/>
    </row>
    <row r="760">
      <c r="B760" s="128"/>
      <c r="C760" s="128"/>
    </row>
    <row r="761">
      <c r="B761" s="128"/>
      <c r="C761" s="128"/>
    </row>
    <row r="762">
      <c r="B762" s="128"/>
      <c r="C762" s="128"/>
    </row>
    <row r="763">
      <c r="B763" s="128"/>
      <c r="C763" s="128"/>
    </row>
    <row r="764">
      <c r="B764" s="128"/>
      <c r="C764" s="128"/>
    </row>
    <row r="765">
      <c r="B765" s="128"/>
      <c r="C765" s="128"/>
    </row>
    <row r="766">
      <c r="B766" s="128"/>
      <c r="C766" s="128"/>
    </row>
    <row r="767">
      <c r="B767" s="128"/>
      <c r="C767" s="128"/>
    </row>
    <row r="768">
      <c r="B768" s="128"/>
      <c r="C768" s="128"/>
    </row>
    <row r="769">
      <c r="B769" s="128"/>
      <c r="C769" s="128"/>
    </row>
    <row r="770">
      <c r="B770" s="128"/>
      <c r="C770" s="128"/>
    </row>
    <row r="771">
      <c r="B771" s="128"/>
      <c r="C771" s="128"/>
    </row>
    <row r="772">
      <c r="B772" s="128"/>
      <c r="C772" s="128"/>
    </row>
    <row r="773">
      <c r="B773" s="128"/>
      <c r="C773" s="128"/>
    </row>
    <row r="774">
      <c r="B774" s="128"/>
      <c r="C774" s="128"/>
    </row>
    <row r="775">
      <c r="B775" s="128"/>
      <c r="C775" s="128"/>
    </row>
    <row r="776">
      <c r="B776" s="128"/>
      <c r="C776" s="128"/>
    </row>
    <row r="777">
      <c r="B777" s="128"/>
      <c r="C777" s="128"/>
    </row>
    <row r="778">
      <c r="B778" s="128"/>
      <c r="C778" s="128"/>
    </row>
    <row r="779">
      <c r="B779" s="128"/>
      <c r="C779" s="128"/>
    </row>
    <row r="780">
      <c r="B780" s="128"/>
      <c r="C780" s="128"/>
    </row>
    <row r="781">
      <c r="B781" s="128"/>
      <c r="C781" s="128"/>
    </row>
    <row r="782">
      <c r="B782" s="128"/>
      <c r="C782" s="128"/>
    </row>
    <row r="783">
      <c r="B783" s="128"/>
      <c r="C783" s="128"/>
    </row>
    <row r="784">
      <c r="B784" s="128"/>
      <c r="C784" s="128"/>
    </row>
    <row r="785">
      <c r="B785" s="128"/>
      <c r="C785" s="128"/>
    </row>
    <row r="786">
      <c r="B786" s="128"/>
      <c r="C786" s="128"/>
    </row>
    <row r="787">
      <c r="B787" s="128"/>
      <c r="C787" s="128"/>
    </row>
    <row r="788">
      <c r="B788" s="128"/>
      <c r="C788" s="128"/>
    </row>
    <row r="789">
      <c r="B789" s="128"/>
      <c r="C789" s="128"/>
    </row>
    <row r="790">
      <c r="B790" s="128"/>
      <c r="C790" s="128"/>
    </row>
    <row r="791">
      <c r="B791" s="128"/>
      <c r="C791" s="128"/>
    </row>
    <row r="792">
      <c r="B792" s="128"/>
      <c r="C792" s="128"/>
    </row>
    <row r="793">
      <c r="B793" s="128"/>
      <c r="C793" s="128"/>
    </row>
    <row r="794">
      <c r="B794" s="128"/>
      <c r="C794" s="128"/>
    </row>
    <row r="795">
      <c r="B795" s="128"/>
      <c r="C795" s="128"/>
    </row>
    <row r="796">
      <c r="B796" s="128"/>
      <c r="C796" s="128"/>
    </row>
    <row r="797">
      <c r="B797" s="128"/>
      <c r="C797" s="128"/>
    </row>
    <row r="798">
      <c r="B798" s="128"/>
      <c r="C798" s="128"/>
    </row>
    <row r="799">
      <c r="B799" s="128"/>
      <c r="C799" s="128"/>
    </row>
    <row r="800">
      <c r="B800" s="128"/>
      <c r="C800" s="128"/>
    </row>
    <row r="801">
      <c r="B801" s="128"/>
      <c r="C801" s="128"/>
    </row>
    <row r="802">
      <c r="B802" s="128"/>
      <c r="C802" s="128"/>
    </row>
    <row r="803">
      <c r="B803" s="128"/>
      <c r="C803" s="128"/>
    </row>
    <row r="804">
      <c r="B804" s="128"/>
      <c r="C804" s="128"/>
    </row>
    <row r="805">
      <c r="B805" s="128"/>
      <c r="C805" s="128"/>
    </row>
    <row r="806">
      <c r="B806" s="128"/>
      <c r="C806" s="128"/>
    </row>
    <row r="807">
      <c r="B807" s="128"/>
      <c r="C807" s="128"/>
    </row>
    <row r="808">
      <c r="B808" s="128"/>
      <c r="C808" s="128"/>
    </row>
    <row r="809">
      <c r="B809" s="128"/>
      <c r="C809" s="128"/>
    </row>
    <row r="810">
      <c r="B810" s="128"/>
      <c r="C810" s="128"/>
    </row>
    <row r="811">
      <c r="B811" s="128"/>
      <c r="C811" s="128"/>
    </row>
    <row r="812">
      <c r="B812" s="128"/>
      <c r="C812" s="128"/>
    </row>
    <row r="813">
      <c r="B813" s="128"/>
      <c r="C813" s="128"/>
    </row>
    <row r="814">
      <c r="B814" s="128"/>
      <c r="C814" s="128"/>
    </row>
    <row r="815">
      <c r="B815" s="128"/>
      <c r="C815" s="128"/>
    </row>
    <row r="816">
      <c r="B816" s="128"/>
      <c r="C816" s="128"/>
    </row>
    <row r="817">
      <c r="B817" s="128"/>
      <c r="C817" s="128"/>
    </row>
    <row r="818">
      <c r="B818" s="128"/>
      <c r="C818" s="128"/>
    </row>
    <row r="819">
      <c r="B819" s="128"/>
      <c r="C819" s="128"/>
    </row>
    <row r="820">
      <c r="B820" s="128"/>
      <c r="C820" s="128"/>
    </row>
    <row r="821">
      <c r="B821" s="128"/>
      <c r="C821" s="128"/>
    </row>
    <row r="822">
      <c r="B822" s="128"/>
      <c r="C822" s="128"/>
    </row>
    <row r="823">
      <c r="B823" s="128"/>
      <c r="C823" s="128"/>
    </row>
    <row r="824">
      <c r="B824" s="128"/>
      <c r="C824" s="128"/>
    </row>
    <row r="825">
      <c r="B825" s="128"/>
      <c r="C825" s="128"/>
    </row>
    <row r="826">
      <c r="B826" s="128"/>
      <c r="C826" s="128"/>
    </row>
    <row r="827">
      <c r="B827" s="128"/>
      <c r="C827" s="128"/>
    </row>
    <row r="828">
      <c r="B828" s="128"/>
      <c r="C828" s="128"/>
    </row>
    <row r="829">
      <c r="B829" s="128"/>
      <c r="C829" s="128"/>
    </row>
    <row r="830">
      <c r="B830" s="128"/>
      <c r="C830" s="128"/>
    </row>
    <row r="831">
      <c r="B831" s="128"/>
      <c r="C831" s="128"/>
    </row>
    <row r="832">
      <c r="B832" s="128"/>
      <c r="C832" s="128"/>
    </row>
    <row r="833">
      <c r="B833" s="128"/>
      <c r="C833" s="128"/>
    </row>
    <row r="834">
      <c r="B834" s="128"/>
      <c r="C834" s="128"/>
    </row>
    <row r="835">
      <c r="B835" s="128"/>
      <c r="C835" s="128"/>
    </row>
    <row r="836">
      <c r="B836" s="128"/>
      <c r="C836" s="128"/>
    </row>
    <row r="837">
      <c r="B837" s="128"/>
      <c r="C837" s="128"/>
    </row>
    <row r="838">
      <c r="B838" s="128"/>
      <c r="C838" s="128"/>
    </row>
    <row r="839">
      <c r="B839" s="128"/>
      <c r="C839" s="128"/>
    </row>
    <row r="840">
      <c r="B840" s="128"/>
      <c r="C840" s="128"/>
    </row>
    <row r="841">
      <c r="B841" s="128"/>
      <c r="C841" s="128"/>
    </row>
    <row r="842">
      <c r="B842" s="128"/>
      <c r="C842" s="128"/>
    </row>
    <row r="843">
      <c r="B843" s="128"/>
      <c r="C843" s="128"/>
    </row>
    <row r="844">
      <c r="B844" s="128"/>
      <c r="C844" s="128"/>
    </row>
    <row r="845">
      <c r="B845" s="128"/>
      <c r="C845" s="128"/>
    </row>
    <row r="846">
      <c r="B846" s="128"/>
      <c r="C846" s="128"/>
    </row>
    <row r="847">
      <c r="B847" s="128"/>
      <c r="C847" s="128"/>
    </row>
    <row r="848">
      <c r="B848" s="128"/>
      <c r="C848" s="128"/>
    </row>
    <row r="849">
      <c r="B849" s="128"/>
      <c r="C849" s="128"/>
    </row>
    <row r="850">
      <c r="B850" s="128"/>
      <c r="C850" s="128"/>
    </row>
    <row r="851">
      <c r="B851" s="128"/>
      <c r="C851" s="128"/>
    </row>
    <row r="852">
      <c r="B852" s="128"/>
      <c r="C852" s="128"/>
    </row>
    <row r="853">
      <c r="B853" s="128"/>
      <c r="C853" s="128"/>
    </row>
    <row r="854">
      <c r="B854" s="128"/>
      <c r="C854" s="128"/>
    </row>
    <row r="855">
      <c r="B855" s="128"/>
      <c r="C855" s="128"/>
    </row>
    <row r="856">
      <c r="B856" s="128"/>
      <c r="C856" s="128"/>
    </row>
    <row r="857">
      <c r="B857" s="128"/>
      <c r="C857" s="128"/>
    </row>
    <row r="858">
      <c r="B858" s="128"/>
      <c r="C858" s="128"/>
    </row>
    <row r="859">
      <c r="B859" s="128"/>
      <c r="C859" s="128"/>
    </row>
    <row r="860">
      <c r="B860" s="128"/>
      <c r="C860" s="128"/>
    </row>
    <row r="861">
      <c r="B861" s="128"/>
      <c r="C861" s="128"/>
    </row>
    <row r="862">
      <c r="B862" s="128"/>
      <c r="C862" s="128"/>
    </row>
    <row r="863">
      <c r="B863" s="128"/>
      <c r="C863" s="128"/>
    </row>
    <row r="864">
      <c r="B864" s="128"/>
      <c r="C864" s="128"/>
    </row>
    <row r="865">
      <c r="B865" s="128"/>
      <c r="C865" s="128"/>
    </row>
    <row r="866">
      <c r="B866" s="128"/>
      <c r="C866" s="128"/>
    </row>
    <row r="867">
      <c r="B867" s="128"/>
      <c r="C867" s="128"/>
    </row>
    <row r="868">
      <c r="B868" s="128"/>
      <c r="C868" s="128"/>
    </row>
    <row r="869">
      <c r="B869" s="128"/>
      <c r="C869" s="128"/>
    </row>
    <row r="870">
      <c r="B870" s="128"/>
      <c r="C870" s="128"/>
    </row>
    <row r="871">
      <c r="B871" s="128"/>
      <c r="C871" s="128"/>
    </row>
    <row r="872">
      <c r="B872" s="128"/>
      <c r="C872" s="128"/>
    </row>
    <row r="873">
      <c r="B873" s="128"/>
      <c r="C873" s="128"/>
    </row>
    <row r="874">
      <c r="B874" s="128"/>
      <c r="C874" s="128"/>
    </row>
    <row r="875">
      <c r="B875" s="128"/>
      <c r="C875" s="128"/>
    </row>
    <row r="876">
      <c r="B876" s="128"/>
      <c r="C876" s="128"/>
    </row>
    <row r="877">
      <c r="B877" s="128"/>
      <c r="C877" s="128"/>
    </row>
    <row r="878">
      <c r="B878" s="128"/>
      <c r="C878" s="128"/>
    </row>
    <row r="879">
      <c r="B879" s="128"/>
      <c r="C879" s="128"/>
    </row>
    <row r="880">
      <c r="B880" s="128"/>
      <c r="C880" s="128"/>
    </row>
    <row r="881">
      <c r="B881" s="128"/>
      <c r="C881" s="128"/>
    </row>
    <row r="882">
      <c r="B882" s="128"/>
      <c r="C882" s="128"/>
    </row>
    <row r="883">
      <c r="B883" s="128"/>
      <c r="C883" s="128"/>
    </row>
    <row r="884">
      <c r="B884" s="128"/>
      <c r="C884" s="128"/>
    </row>
    <row r="885">
      <c r="B885" s="128"/>
      <c r="C885" s="128"/>
    </row>
    <row r="886">
      <c r="B886" s="128"/>
      <c r="C886" s="128"/>
    </row>
    <row r="887">
      <c r="B887" s="128"/>
      <c r="C887" s="128"/>
    </row>
    <row r="888">
      <c r="B888" s="128"/>
      <c r="C888" s="128"/>
    </row>
    <row r="889">
      <c r="B889" s="128"/>
      <c r="C889" s="128"/>
    </row>
    <row r="890">
      <c r="B890" s="128"/>
      <c r="C890" s="128"/>
    </row>
    <row r="891">
      <c r="B891" s="128"/>
      <c r="C891" s="128"/>
    </row>
    <row r="892">
      <c r="B892" s="128"/>
      <c r="C892" s="128"/>
    </row>
    <row r="893">
      <c r="B893" s="128"/>
      <c r="C893" s="128"/>
    </row>
    <row r="894">
      <c r="B894" s="128"/>
      <c r="C894" s="128"/>
    </row>
    <row r="895">
      <c r="B895" s="128"/>
      <c r="C895" s="128"/>
    </row>
    <row r="896">
      <c r="B896" s="128"/>
      <c r="C896" s="128"/>
    </row>
    <row r="897">
      <c r="B897" s="128"/>
      <c r="C897" s="128"/>
    </row>
    <row r="898">
      <c r="B898" s="128"/>
      <c r="C898" s="128"/>
    </row>
    <row r="899">
      <c r="B899" s="128"/>
      <c r="C899" s="128"/>
    </row>
    <row r="900">
      <c r="B900" s="128"/>
      <c r="C900" s="128"/>
    </row>
    <row r="901">
      <c r="B901" s="128"/>
      <c r="C901" s="128"/>
    </row>
    <row r="902">
      <c r="B902" s="128"/>
      <c r="C902" s="128"/>
    </row>
    <row r="903">
      <c r="B903" s="128"/>
      <c r="C903" s="128"/>
    </row>
    <row r="904">
      <c r="B904" s="128"/>
      <c r="C904" s="128"/>
    </row>
    <row r="905">
      <c r="B905" s="128"/>
      <c r="C905" s="128"/>
    </row>
    <row r="906">
      <c r="B906" s="128"/>
      <c r="C906" s="128"/>
    </row>
    <row r="907">
      <c r="B907" s="128"/>
      <c r="C907" s="128"/>
    </row>
    <row r="908">
      <c r="B908" s="128"/>
      <c r="C908" s="128"/>
    </row>
    <row r="909">
      <c r="B909" s="128"/>
      <c r="C909" s="128"/>
    </row>
    <row r="910">
      <c r="B910" s="128"/>
      <c r="C910" s="128"/>
    </row>
    <row r="911">
      <c r="B911" s="128"/>
      <c r="C911" s="128"/>
    </row>
    <row r="912">
      <c r="B912" s="128"/>
      <c r="C912" s="128"/>
    </row>
    <row r="913">
      <c r="B913" s="128"/>
      <c r="C913" s="128"/>
    </row>
    <row r="914">
      <c r="B914" s="128"/>
      <c r="C914" s="128"/>
    </row>
    <row r="915">
      <c r="B915" s="128"/>
      <c r="C915" s="128"/>
    </row>
    <row r="916">
      <c r="B916" s="128"/>
      <c r="C916" s="128"/>
    </row>
    <row r="917">
      <c r="B917" s="128"/>
      <c r="C917" s="128"/>
    </row>
    <row r="918">
      <c r="B918" s="128"/>
      <c r="C918" s="128"/>
    </row>
    <row r="919">
      <c r="B919" s="128"/>
      <c r="C919" s="128"/>
    </row>
    <row r="920">
      <c r="B920" s="128"/>
      <c r="C920" s="128"/>
    </row>
    <row r="921">
      <c r="B921" s="128"/>
      <c r="C921" s="128"/>
    </row>
    <row r="922">
      <c r="B922" s="128"/>
      <c r="C922" s="128"/>
    </row>
    <row r="923">
      <c r="B923" s="128"/>
      <c r="C923" s="128"/>
    </row>
    <row r="924">
      <c r="B924" s="128"/>
      <c r="C924" s="128"/>
    </row>
    <row r="925">
      <c r="B925" s="128"/>
      <c r="C925" s="128"/>
    </row>
    <row r="926">
      <c r="B926" s="128"/>
      <c r="C926" s="128"/>
    </row>
    <row r="927">
      <c r="B927" s="128"/>
      <c r="C927" s="128"/>
    </row>
    <row r="928">
      <c r="B928" s="128"/>
      <c r="C928" s="128"/>
    </row>
    <row r="929">
      <c r="B929" s="128"/>
      <c r="C929" s="128"/>
    </row>
    <row r="930">
      <c r="B930" s="128"/>
      <c r="C930" s="128"/>
    </row>
    <row r="931">
      <c r="B931" s="128"/>
      <c r="C931" s="128"/>
    </row>
    <row r="932">
      <c r="B932" s="128"/>
      <c r="C932" s="128"/>
    </row>
    <row r="933">
      <c r="B933" s="128"/>
      <c r="C933" s="128"/>
    </row>
    <row r="934">
      <c r="B934" s="128"/>
      <c r="C934" s="128"/>
    </row>
    <row r="935">
      <c r="B935" s="128"/>
      <c r="C935" s="128"/>
    </row>
    <row r="936">
      <c r="B936" s="128"/>
      <c r="C936" s="128"/>
    </row>
    <row r="937">
      <c r="B937" s="128"/>
      <c r="C937" s="128"/>
    </row>
    <row r="938">
      <c r="B938" s="128"/>
      <c r="C938" s="128"/>
    </row>
    <row r="939">
      <c r="B939" s="128"/>
      <c r="C939" s="128"/>
    </row>
    <row r="940">
      <c r="B940" s="128"/>
      <c r="C940" s="128"/>
    </row>
    <row r="941">
      <c r="B941" s="128"/>
      <c r="C941" s="128"/>
    </row>
    <row r="942">
      <c r="B942" s="128"/>
      <c r="C942" s="128"/>
    </row>
    <row r="943">
      <c r="B943" s="128"/>
      <c r="C943" s="128"/>
    </row>
    <row r="944">
      <c r="B944" s="128"/>
      <c r="C944" s="128"/>
    </row>
    <row r="945">
      <c r="B945" s="128"/>
      <c r="C945" s="128"/>
    </row>
    <row r="946">
      <c r="B946" s="128"/>
      <c r="C946" s="128"/>
    </row>
    <row r="947">
      <c r="B947" s="128"/>
      <c r="C947" s="128"/>
    </row>
    <row r="948">
      <c r="B948" s="128"/>
      <c r="C948" s="128"/>
    </row>
    <row r="949">
      <c r="B949" s="128"/>
      <c r="C949" s="128"/>
    </row>
    <row r="950">
      <c r="B950" s="128"/>
      <c r="C950" s="128"/>
    </row>
    <row r="951">
      <c r="B951" s="128"/>
      <c r="C951" s="128"/>
    </row>
    <row r="952">
      <c r="B952" s="128"/>
      <c r="C952" s="128"/>
    </row>
    <row r="953">
      <c r="B953" s="128"/>
      <c r="C953" s="128"/>
    </row>
    <row r="954">
      <c r="B954" s="128"/>
      <c r="C954" s="128"/>
    </row>
    <row r="955">
      <c r="B955" s="128"/>
      <c r="C955" s="128"/>
    </row>
    <row r="956">
      <c r="B956" s="128"/>
      <c r="C956" s="128"/>
    </row>
    <row r="957">
      <c r="B957" s="128"/>
      <c r="C957" s="128"/>
    </row>
    <row r="958">
      <c r="B958" s="128"/>
      <c r="C958" s="128"/>
    </row>
    <row r="959">
      <c r="B959" s="128"/>
      <c r="C959" s="128"/>
    </row>
    <row r="960">
      <c r="B960" s="128"/>
      <c r="C960" s="128"/>
    </row>
    <row r="961">
      <c r="B961" s="128"/>
      <c r="C961" s="128"/>
    </row>
    <row r="962">
      <c r="B962" s="128"/>
      <c r="C962" s="128"/>
    </row>
    <row r="963">
      <c r="B963" s="128"/>
      <c r="C963" s="128"/>
    </row>
    <row r="964">
      <c r="B964" s="128"/>
      <c r="C964" s="128"/>
    </row>
    <row r="965">
      <c r="B965" s="128"/>
      <c r="C965" s="128"/>
    </row>
    <row r="966">
      <c r="B966" s="128"/>
      <c r="C966" s="128"/>
    </row>
    <row r="967">
      <c r="B967" s="128"/>
      <c r="C967" s="128"/>
    </row>
    <row r="968">
      <c r="B968" s="128"/>
      <c r="C968" s="128"/>
    </row>
    <row r="969">
      <c r="B969" s="128"/>
      <c r="C969" s="128"/>
    </row>
    <row r="970">
      <c r="B970" s="128"/>
      <c r="C970" s="128"/>
    </row>
    <row r="971">
      <c r="B971" s="128"/>
      <c r="C971" s="128"/>
    </row>
    <row r="972">
      <c r="B972" s="128"/>
      <c r="C972" s="128"/>
    </row>
    <row r="973">
      <c r="B973" s="128"/>
      <c r="C973" s="128"/>
    </row>
    <row r="974">
      <c r="B974" s="128"/>
      <c r="C974" s="128"/>
    </row>
    <row r="975">
      <c r="B975" s="128"/>
      <c r="C975" s="128"/>
    </row>
    <row r="976">
      <c r="B976" s="128"/>
      <c r="C976" s="128"/>
    </row>
    <row r="977">
      <c r="B977" s="128"/>
      <c r="C977" s="128"/>
    </row>
    <row r="978">
      <c r="B978" s="128"/>
      <c r="C978" s="128"/>
    </row>
    <row r="979">
      <c r="B979" s="128"/>
      <c r="C979" s="128"/>
    </row>
    <row r="980">
      <c r="B980" s="128"/>
      <c r="C980" s="128"/>
    </row>
    <row r="981">
      <c r="B981" s="128"/>
      <c r="C981" s="128"/>
    </row>
    <row r="982">
      <c r="B982" s="128"/>
      <c r="C982" s="128"/>
    </row>
    <row r="983">
      <c r="B983" s="128"/>
      <c r="C983" s="128"/>
    </row>
    <row r="984">
      <c r="B984" s="128"/>
      <c r="C984" s="128"/>
    </row>
    <row r="985">
      <c r="B985" s="128"/>
      <c r="C985" s="128"/>
    </row>
    <row r="986">
      <c r="B986" s="128"/>
      <c r="C986" s="128"/>
    </row>
    <row r="987">
      <c r="B987" s="128"/>
      <c r="C987" s="128"/>
    </row>
    <row r="988">
      <c r="B988" s="128"/>
      <c r="C988" s="128"/>
    </row>
    <row r="989">
      <c r="B989" s="128"/>
      <c r="C989" s="128"/>
    </row>
    <row r="990">
      <c r="B990" s="128"/>
      <c r="C990" s="128"/>
    </row>
    <row r="991">
      <c r="B991" s="128"/>
      <c r="C991" s="128"/>
    </row>
    <row r="992">
      <c r="B992" s="128"/>
      <c r="C992" s="128"/>
    </row>
    <row r="993">
      <c r="B993" s="128"/>
      <c r="C993" s="128"/>
    </row>
    <row r="994">
      <c r="B994" s="128"/>
      <c r="C994" s="128"/>
    </row>
    <row r="995">
      <c r="B995" s="128"/>
      <c r="C995" s="128"/>
    </row>
    <row r="996">
      <c r="B996" s="128"/>
      <c r="C996" s="128"/>
    </row>
    <row r="997">
      <c r="B997" s="128"/>
      <c r="C997" s="128"/>
    </row>
  </sheetData>
  <mergeCells count="1">
    <mergeCell ref="I27:K28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5.13"/>
    <col customWidth="1" min="4" max="4" width="15.63"/>
    <col customWidth="1" min="7" max="7" width="15.63"/>
  </cols>
  <sheetData>
    <row r="1">
      <c r="A1" s="4" t="str">
        <f>"今天是"&amp;TEXT(NOW(), "yyyy年m月d日aaaa")&amp;" 時間："&amp;TEXT(NOW(), "hh:mm")</f>
        <v>今天是2026年10月25日星期日 時間：08:42</v>
      </c>
      <c r="D1" s="6"/>
      <c r="E1" s="7"/>
      <c r="G1" s="8"/>
      <c r="I1" s="5" t="s">
        <v>50</v>
      </c>
      <c r="J1" s="9">
        <f>IFERROR(__xludf.DUMMYFUNCTION("GOOGLEFINANCE(""CURRENCY:USDTWD"")"),32.585800000000006)</f>
        <v>32.5858</v>
      </c>
    </row>
    <row r="2">
      <c r="D2" s="6"/>
      <c r="E2" s="7"/>
      <c r="G2" s="8"/>
      <c r="I2" s="10" t="s">
        <v>51</v>
      </c>
      <c r="J2" s="11">
        <f>IFERROR(__xludf.DUMMYFUNCTION("GOOGLEFINANCE(""CURRENCY:JPYTWD"")"),0.2077359)</f>
        <v>0.2077359</v>
      </c>
    </row>
    <row r="3">
      <c r="A3" s="15" t="str">
        <f>"本月還剩餘 " &amp; (EOMONTH(TODAY(),0)-TODAY()+1) &amp; " 天"</f>
        <v>本月還剩餘 7 天</v>
      </c>
      <c r="D3" s="6"/>
      <c r="E3" s="7"/>
      <c r="G3" s="8"/>
    </row>
    <row r="4">
      <c r="A4" s="7"/>
      <c r="B4" s="7"/>
      <c r="C4" s="7"/>
      <c r="D4" s="6"/>
      <c r="E4" s="7"/>
      <c r="G4" s="8"/>
    </row>
    <row r="5">
      <c r="A5" s="7" t="s">
        <v>52</v>
      </c>
      <c r="B5" s="7" t="s">
        <v>53</v>
      </c>
      <c r="C5" s="7" t="s">
        <v>54</v>
      </c>
      <c r="D5" s="6" t="s">
        <v>55</v>
      </c>
      <c r="E5" s="7" t="s">
        <v>56</v>
      </c>
      <c r="F5" s="17" t="s">
        <v>57</v>
      </c>
      <c r="G5" s="8"/>
    </row>
    <row r="6">
      <c r="A6" s="7">
        <f>15000</f>
        <v>15000</v>
      </c>
      <c r="B6" s="21">
        <f> SUMIFS('流水帳'!E:E, '流水帳'!B:B, "一般花費", '流水帳'!A:A, "&gt;="&amp;DATE(YEAR(TODAY()), MONTH(TODAY()), 1))</f>
        <v>750</v>
      </c>
      <c r="C6" s="22">
        <f>B6/A6</f>
        <v>0.05</v>
      </c>
      <c r="D6" s="23">
        <f>A6-B6</f>
        <v>14250</v>
      </c>
      <c r="E6" s="22">
        <f>DAY(TODAY()) / DAY(EOMONTH(TODAY(), 0))</f>
        <v>0.8064516129</v>
      </c>
      <c r="F6" s="33">
        <f>G6 - SUMIFS('流水帳'!E:E, '流水帳'!B:B, "一般花費", '流水帳'!A:A, "&gt;="&amp;TODAY(), '流水帳'!A:A, "&lt;"&amp;TODAY()+1)</f>
        <v>500</v>
      </c>
      <c r="G6" s="35">
        <v>500</v>
      </c>
    </row>
    <row r="7">
      <c r="A7" s="7" t="s">
        <v>58</v>
      </c>
      <c r="B7" s="7" t="s">
        <v>59</v>
      </c>
      <c r="C7" s="7" t="s">
        <v>60</v>
      </c>
      <c r="D7" s="6" t="s">
        <v>61</v>
      </c>
      <c r="E7" s="21"/>
      <c r="F7" s="17" t="s">
        <v>62</v>
      </c>
    </row>
    <row r="8">
      <c r="A8" s="7">
        <f>10000</f>
        <v>10000</v>
      </c>
      <c r="B8" s="21">
        <f> SUMIFS('流水帳'!E:E, '流水帳'!B:B, "特支費", '流水帳'!A:A, "&gt;="&amp;DATE(YEAR(TODAY()), MONTH(TODAY()), 1))</f>
        <v>450</v>
      </c>
      <c r="C8" s="22">
        <f>B8/A8</f>
        <v>0.045</v>
      </c>
      <c r="D8" s="23">
        <f>A8-B8</f>
        <v>9550</v>
      </c>
      <c r="E8" s="21"/>
      <c r="F8" s="33">
        <f>G8 - SUMIFS('流水帳'!E:E, '流水帳'!B:B, "特支費", '流水帳'!A:A, TODAY())</f>
        <v>350</v>
      </c>
      <c r="G8" s="35">
        <v>350</v>
      </c>
    </row>
    <row r="11">
      <c r="A11" s="40" t="s">
        <v>63</v>
      </c>
      <c r="B11" s="41"/>
      <c r="C11" s="42"/>
    </row>
    <row r="12">
      <c r="A12" s="43"/>
      <c r="B12" s="45"/>
      <c r="C12" s="46"/>
    </row>
    <row r="13">
      <c r="A13" s="51" t="str">
        <f>IFERROR(__xludf.DUMMYFUNCTION("SPARKLINE(
  {
    MIN(C6, DAY(TODAY())/DAY(EOMONTH(TODAY(),0))), 
    0.01, 
    MAX(0, C6 - DAY(TODAY())/DAY(EOMONTH(TODAY(),0)) - 0.01),
    MAX(0, 1 - MAX(C6, DAY(TODAY())/DAY(EOMONTH(TODAY(),0) + 0.01)))
  }, 
  {
    ""charttype"", ""bar""; 
    ""m"&amp;"ax"", 1; 
    ""color1"", ""#4A90E2""; 
    ""color2"", ""#FF0000""; 
    ""color3"", ""#4A90E2""; 
    ""color4"", ""#E0E0E0""
  }
)"),"")</f>
        <v/>
      </c>
      <c r="B13" s="41"/>
      <c r="C13" s="41"/>
      <c r="D13" s="42"/>
    </row>
    <row r="14">
      <c r="A14" s="43"/>
      <c r="B14" s="45"/>
      <c r="C14" s="45"/>
      <c r="D14" s="46"/>
    </row>
    <row r="16">
      <c r="A16" s="54" t="s">
        <v>64</v>
      </c>
      <c r="B16" s="55"/>
      <c r="C16" s="56"/>
    </row>
    <row r="17">
      <c r="A17" s="57"/>
      <c r="B17" s="58"/>
      <c r="C17" s="59"/>
      <c r="G17" s="61"/>
      <c r="H17" s="61"/>
      <c r="I17" s="61"/>
    </row>
    <row r="18">
      <c r="A18" s="64" t="str">
        <f>IFERROR(__xludf.DUMMYFUNCTION("SPARKLINE(
  {
    MIN(C8, DAY(TODAY())/DAY(EOMONTH(TODAY(),0))), 
    0.01, 
    MAX(0, C8 - DAY(TODAY())/DAY(EOMONTH(TODAY(),0)) - 0.01),
    MAX(0, 1 - MAX(C8, DAY(TODAY())/DAY(EOMONTH(TODAY(),0) + 0.01)))
  }, 
  {
    ""charttype"", ""bar""; 
    ""m"&amp;"ax"", 1; 
    ""color1"", ""#F5A623""; 
    ""color2"", ""#FF0000""; 
    ""color3"", ""#F5A623""; 
    ""color4"", ""#E0E0E0""
  }
)"),"")</f>
        <v/>
      </c>
      <c r="B18" s="55"/>
      <c r="C18" s="55"/>
      <c r="D18" s="56"/>
      <c r="G18" s="65"/>
      <c r="H18" s="65"/>
      <c r="I18" s="65"/>
    </row>
    <row r="19">
      <c r="A19" s="57"/>
      <c r="B19" s="58"/>
      <c r="C19" s="58"/>
      <c r="D19" s="59"/>
      <c r="G19" s="65"/>
      <c r="H19" s="66"/>
      <c r="I19" s="66"/>
    </row>
    <row r="20">
      <c r="G20" s="65"/>
      <c r="H20" s="66"/>
      <c r="I20" s="66"/>
    </row>
    <row r="21">
      <c r="G21" s="65"/>
      <c r="H21" s="66"/>
      <c r="I21" s="66"/>
    </row>
  </sheetData>
  <mergeCells count="6">
    <mergeCell ref="A1:C2"/>
    <mergeCell ref="A3:C3"/>
    <mergeCell ref="A11:C12"/>
    <mergeCell ref="A13:D14"/>
    <mergeCell ref="A16:C17"/>
    <mergeCell ref="A18:D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" t="s">
        <v>65</v>
      </c>
      <c r="B1" s="1" t="s">
        <v>66</v>
      </c>
    </row>
    <row r="2">
      <c r="A2" s="2" t="s">
        <v>67</v>
      </c>
      <c r="B2" s="1" t="s">
        <v>68</v>
      </c>
      <c r="F2" s="1"/>
      <c r="G2" s="1"/>
      <c r="H2" s="1"/>
      <c r="I2" s="1"/>
    </row>
    <row r="3">
      <c r="A3" s="2" t="s">
        <v>67</v>
      </c>
      <c r="B3" s="1" t="s">
        <v>69</v>
      </c>
      <c r="F3" s="2"/>
      <c r="G3" s="1"/>
      <c r="H3" s="1"/>
      <c r="I3" s="1"/>
    </row>
    <row r="4">
      <c r="A4" s="2" t="s">
        <v>67</v>
      </c>
      <c r="B4" s="1" t="s">
        <v>70</v>
      </c>
      <c r="F4" s="3"/>
      <c r="G4" s="1"/>
      <c r="H4" s="1"/>
      <c r="I4" s="1"/>
    </row>
    <row r="5">
      <c r="A5" s="2" t="s">
        <v>67</v>
      </c>
      <c r="B5" s="1" t="s">
        <v>71</v>
      </c>
      <c r="F5" s="3"/>
      <c r="G5" s="1"/>
      <c r="H5" s="1"/>
      <c r="I5" s="1"/>
    </row>
    <row r="6">
      <c r="A6" s="2" t="s">
        <v>67</v>
      </c>
      <c r="B6" s="5" t="s">
        <v>72</v>
      </c>
      <c r="F6" s="3"/>
      <c r="G6" s="1"/>
      <c r="H6" s="1"/>
      <c r="I6" s="1"/>
    </row>
    <row r="7">
      <c r="A7" s="2" t="s">
        <v>67</v>
      </c>
      <c r="B7" s="1" t="s">
        <v>73</v>
      </c>
      <c r="F7" s="2"/>
      <c r="G7" s="1"/>
      <c r="H7" s="1"/>
      <c r="I7" s="1"/>
    </row>
    <row r="8">
      <c r="A8" s="2" t="s">
        <v>67</v>
      </c>
      <c r="B8" s="1" t="s">
        <v>74</v>
      </c>
      <c r="F8" s="2"/>
      <c r="G8" s="1"/>
      <c r="H8" s="1"/>
      <c r="I8" s="1"/>
    </row>
    <row r="9">
      <c r="A9" s="2" t="s">
        <v>67</v>
      </c>
      <c r="B9" s="1" t="s">
        <v>75</v>
      </c>
      <c r="F9" s="2"/>
      <c r="G9" s="1"/>
      <c r="H9" s="1"/>
      <c r="I9" s="1"/>
    </row>
    <row r="10">
      <c r="A10" s="2" t="s">
        <v>67</v>
      </c>
      <c r="B10" s="1" t="s">
        <v>76</v>
      </c>
      <c r="F10" s="2"/>
      <c r="G10" s="1"/>
      <c r="H10" s="1"/>
      <c r="I10" s="1"/>
    </row>
    <row r="11">
      <c r="A11" s="2" t="s">
        <v>67</v>
      </c>
      <c r="B11" s="1" t="s">
        <v>77</v>
      </c>
      <c r="F11" s="2"/>
      <c r="G11" s="1"/>
      <c r="H11" s="1"/>
      <c r="I11" s="1"/>
    </row>
    <row r="12">
      <c r="A12" s="2" t="s">
        <v>67</v>
      </c>
      <c r="B12" s="1" t="s">
        <v>78</v>
      </c>
      <c r="F12" s="3"/>
      <c r="G12" s="1"/>
      <c r="H12" s="1"/>
      <c r="I12" s="1"/>
    </row>
    <row r="13">
      <c r="A13" s="2" t="s">
        <v>67</v>
      </c>
      <c r="B13" s="1" t="s">
        <v>79</v>
      </c>
      <c r="F13" s="3"/>
      <c r="G13" s="1"/>
      <c r="H13" s="1"/>
      <c r="I13" s="1"/>
    </row>
    <row r="14">
      <c r="A14" s="2" t="s">
        <v>67</v>
      </c>
      <c r="B14" s="1" t="s">
        <v>80</v>
      </c>
      <c r="F14" s="3"/>
      <c r="G14" s="1"/>
      <c r="H14" s="1"/>
      <c r="I14" s="1"/>
    </row>
    <row r="15">
      <c r="A15" s="2" t="s">
        <v>67</v>
      </c>
      <c r="B15" s="1" t="s">
        <v>81</v>
      </c>
      <c r="F15" s="3"/>
      <c r="G15" s="1"/>
      <c r="H15" s="1"/>
      <c r="I15" s="1"/>
    </row>
    <row r="16">
      <c r="A16" s="2" t="s">
        <v>67</v>
      </c>
      <c r="B16" s="5" t="s">
        <v>82</v>
      </c>
      <c r="F16" s="3"/>
      <c r="G16" s="1"/>
      <c r="H16" s="1"/>
      <c r="I16" s="1"/>
    </row>
    <row r="17">
      <c r="A17" s="2" t="s">
        <v>67</v>
      </c>
      <c r="B17" s="1" t="s">
        <v>83</v>
      </c>
      <c r="F17" s="3"/>
      <c r="G17" s="1"/>
      <c r="H17" s="1"/>
      <c r="I17" s="1"/>
    </row>
    <row r="18">
      <c r="A18" s="2" t="s">
        <v>67</v>
      </c>
      <c r="B18" s="1" t="s">
        <v>84</v>
      </c>
      <c r="F18" s="2"/>
      <c r="G18" s="1"/>
      <c r="H18" s="1"/>
      <c r="I18" s="1"/>
    </row>
    <row r="19">
      <c r="A19" s="2" t="s">
        <v>67</v>
      </c>
      <c r="B19" s="1" t="s">
        <v>85</v>
      </c>
      <c r="F19" s="3"/>
      <c r="G19" s="1"/>
      <c r="H19" s="1"/>
      <c r="I19" s="1"/>
    </row>
    <row r="20">
      <c r="A20" s="2" t="s">
        <v>67</v>
      </c>
      <c r="B20" s="1" t="s">
        <v>86</v>
      </c>
      <c r="F20" s="3"/>
      <c r="G20" s="1"/>
      <c r="H20" s="1"/>
      <c r="I20" s="1"/>
    </row>
    <row r="21">
      <c r="A21" s="2" t="s">
        <v>67</v>
      </c>
      <c r="B21" s="1" t="s">
        <v>87</v>
      </c>
      <c r="F21" s="3"/>
      <c r="G21" s="1"/>
      <c r="H21" s="1"/>
      <c r="I21" s="1"/>
    </row>
    <row r="22">
      <c r="A22" s="2" t="s">
        <v>67</v>
      </c>
      <c r="B22" s="1" t="s">
        <v>88</v>
      </c>
      <c r="F22" s="3"/>
      <c r="G22" s="1"/>
      <c r="H22" s="1"/>
      <c r="I22" s="1"/>
    </row>
    <row r="23">
      <c r="A23" s="2" t="s">
        <v>67</v>
      </c>
      <c r="B23" s="1" t="s">
        <v>89</v>
      </c>
      <c r="F23" s="3"/>
      <c r="G23" s="1"/>
      <c r="H23" s="1"/>
      <c r="I23" s="1"/>
    </row>
    <row r="24">
      <c r="A24" s="2" t="s">
        <v>67</v>
      </c>
      <c r="B24" s="1" t="s">
        <v>90</v>
      </c>
      <c r="F24" s="3"/>
      <c r="G24" s="1"/>
      <c r="H24" s="1"/>
      <c r="I24" s="1"/>
    </row>
    <row r="25">
      <c r="A25" s="2" t="s">
        <v>67</v>
      </c>
      <c r="B25" s="1" t="s">
        <v>91</v>
      </c>
      <c r="F25" s="2"/>
      <c r="G25" s="1"/>
      <c r="H25" s="1"/>
      <c r="I25" s="1"/>
    </row>
    <row r="26">
      <c r="A26" s="2" t="s">
        <v>67</v>
      </c>
      <c r="B26" s="1" t="s">
        <v>92</v>
      </c>
      <c r="F26" s="3"/>
      <c r="G26" s="1"/>
      <c r="H26" s="1"/>
      <c r="I26" s="1"/>
    </row>
    <row r="27">
      <c r="A27" s="2" t="s">
        <v>67</v>
      </c>
      <c r="B27" s="1" t="s">
        <v>93</v>
      </c>
      <c r="F27" s="3"/>
      <c r="G27" s="1"/>
      <c r="H27" s="1"/>
      <c r="I27" s="1"/>
    </row>
    <row r="28">
      <c r="A28" s="2" t="s">
        <v>67</v>
      </c>
      <c r="B28" s="1" t="s">
        <v>94</v>
      </c>
      <c r="F28" s="3"/>
      <c r="G28" s="1"/>
      <c r="H28" s="1"/>
      <c r="I28" s="1"/>
    </row>
    <row r="29">
      <c r="A29" s="2" t="s">
        <v>67</v>
      </c>
      <c r="B29" s="1" t="s">
        <v>95</v>
      </c>
      <c r="F29" s="3"/>
      <c r="G29" s="1"/>
      <c r="H29" s="1"/>
      <c r="I29" s="1"/>
    </row>
    <row r="30">
      <c r="A30" s="12" t="s">
        <v>67</v>
      </c>
      <c r="B30" s="13" t="s">
        <v>96</v>
      </c>
      <c r="F30" s="3"/>
      <c r="G30" s="1"/>
      <c r="H30" s="1"/>
      <c r="I30" s="1"/>
    </row>
    <row r="31">
      <c r="A31" s="2"/>
      <c r="F31" s="3"/>
      <c r="G31" s="1"/>
      <c r="H31" s="1"/>
      <c r="I31" s="1"/>
    </row>
    <row r="32">
      <c r="A32" s="2" t="s">
        <v>97</v>
      </c>
      <c r="B32" s="1" t="s">
        <v>98</v>
      </c>
      <c r="F32" s="3"/>
      <c r="G32" s="1"/>
      <c r="H32" s="1"/>
      <c r="I32" s="1"/>
    </row>
    <row r="33">
      <c r="A33" s="2" t="s">
        <v>97</v>
      </c>
      <c r="B33" s="1" t="s">
        <v>99</v>
      </c>
      <c r="F33" s="2"/>
      <c r="G33" s="1"/>
      <c r="H33" s="1"/>
      <c r="I33" s="1"/>
    </row>
    <row r="34">
      <c r="A34" s="2" t="s">
        <v>97</v>
      </c>
      <c r="B34" s="1" t="s">
        <v>100</v>
      </c>
      <c r="F34" s="3"/>
      <c r="G34" s="1"/>
      <c r="H34" s="1"/>
      <c r="I34" s="1"/>
    </row>
    <row r="35">
      <c r="A35" s="2" t="s">
        <v>97</v>
      </c>
      <c r="B35" s="1" t="s">
        <v>101</v>
      </c>
      <c r="F35" s="3"/>
      <c r="G35" s="1"/>
      <c r="H35" s="1"/>
      <c r="I35" s="1"/>
    </row>
    <row r="36">
      <c r="A36" s="2" t="s">
        <v>97</v>
      </c>
      <c r="B36" s="1" t="s">
        <v>102</v>
      </c>
      <c r="F36" s="3"/>
      <c r="G36" s="1"/>
      <c r="H36" s="1"/>
      <c r="I36" s="1"/>
    </row>
    <row r="37">
      <c r="A37" s="2" t="s">
        <v>97</v>
      </c>
      <c r="B37" s="1" t="s">
        <v>103</v>
      </c>
      <c r="F37" s="3"/>
      <c r="G37" s="1"/>
      <c r="H37" s="1"/>
      <c r="I37" s="1"/>
    </row>
    <row r="38">
      <c r="A38" s="2" t="s">
        <v>97</v>
      </c>
      <c r="B38" s="1" t="s">
        <v>104</v>
      </c>
      <c r="F38" s="3"/>
      <c r="G38" s="1"/>
      <c r="H38" s="1"/>
      <c r="I38" s="1"/>
    </row>
    <row r="39">
      <c r="A39" s="2" t="s">
        <v>97</v>
      </c>
      <c r="B39" s="1" t="s">
        <v>105</v>
      </c>
      <c r="F39" s="2"/>
      <c r="G39" s="1"/>
      <c r="H39" s="1"/>
      <c r="I39" s="1"/>
    </row>
    <row r="40">
      <c r="A40" s="2" t="s">
        <v>97</v>
      </c>
      <c r="B40" s="1" t="s">
        <v>106</v>
      </c>
      <c r="F40" s="3"/>
      <c r="G40" s="1"/>
      <c r="H40" s="1"/>
      <c r="I40" s="1"/>
    </row>
    <row r="41">
      <c r="A41" s="2" t="s">
        <v>97</v>
      </c>
      <c r="B41" s="1" t="s">
        <v>107</v>
      </c>
      <c r="F41" s="3"/>
      <c r="G41" s="1"/>
      <c r="H41" s="1"/>
      <c r="I41" s="1"/>
    </row>
    <row r="42">
      <c r="A42" s="2" t="s">
        <v>97</v>
      </c>
      <c r="B42" s="1" t="s">
        <v>108</v>
      </c>
      <c r="F42" s="3"/>
      <c r="G42" s="1"/>
      <c r="H42" s="1"/>
      <c r="I42" s="1"/>
    </row>
    <row r="43">
      <c r="A43" s="2" t="s">
        <v>97</v>
      </c>
      <c r="B43" s="1" t="s">
        <v>109</v>
      </c>
      <c r="F43" s="3"/>
      <c r="G43" s="1"/>
      <c r="H43" s="1"/>
      <c r="I43" s="1"/>
    </row>
    <row r="44">
      <c r="A44" s="2" t="s">
        <v>97</v>
      </c>
      <c r="B44" s="1" t="s">
        <v>110</v>
      </c>
      <c r="F44" s="3"/>
      <c r="G44" s="1"/>
      <c r="H44" s="1"/>
      <c r="I44" s="1"/>
    </row>
    <row r="45">
      <c r="A45" s="2" t="s">
        <v>97</v>
      </c>
      <c r="B45" s="1" t="s">
        <v>111</v>
      </c>
      <c r="F45" s="2"/>
      <c r="G45" s="1"/>
      <c r="H45" s="1"/>
      <c r="I45" s="1"/>
    </row>
    <row r="46">
      <c r="A46" s="2" t="s">
        <v>97</v>
      </c>
      <c r="B46" s="1" t="s">
        <v>112</v>
      </c>
      <c r="F46" s="3"/>
      <c r="G46" s="1"/>
      <c r="H46" s="1"/>
      <c r="I46" s="1"/>
    </row>
    <row r="47">
      <c r="A47" s="2" t="s">
        <v>97</v>
      </c>
      <c r="B47" s="1" t="s">
        <v>113</v>
      </c>
      <c r="F47" s="2"/>
      <c r="G47" s="1"/>
      <c r="H47" s="1"/>
      <c r="I47" s="1"/>
    </row>
    <row r="48">
      <c r="F48" s="3"/>
      <c r="G48" s="1"/>
      <c r="H48" s="1"/>
      <c r="I48" s="1"/>
    </row>
    <row r="49">
      <c r="A49" s="2" t="s">
        <v>114</v>
      </c>
      <c r="B49" s="5" t="s">
        <v>115</v>
      </c>
      <c r="F49" s="3"/>
      <c r="G49" s="1"/>
      <c r="H49" s="1"/>
      <c r="I49" s="1"/>
    </row>
    <row r="50">
      <c r="A50" s="2" t="s">
        <v>114</v>
      </c>
      <c r="B50" s="5" t="s">
        <v>116</v>
      </c>
      <c r="F50" s="3"/>
      <c r="G50" s="1"/>
      <c r="H50" s="1"/>
      <c r="I50" s="1"/>
    </row>
    <row r="51">
      <c r="F51" s="3"/>
      <c r="G51" s="1"/>
      <c r="H51" s="1"/>
      <c r="I51" s="1"/>
    </row>
    <row r="52">
      <c r="F52" s="3"/>
      <c r="G52" s="1"/>
      <c r="H52" s="1"/>
      <c r="I52" s="1"/>
    </row>
    <row r="53">
      <c r="A53" s="2" t="s">
        <v>117</v>
      </c>
      <c r="B53" s="1" t="s">
        <v>68</v>
      </c>
      <c r="F53" s="3"/>
      <c r="G53" s="1"/>
      <c r="H53" s="1"/>
      <c r="I53" s="1"/>
    </row>
    <row r="54">
      <c r="A54" s="2" t="s">
        <v>117</v>
      </c>
      <c r="B54" s="1" t="s">
        <v>69</v>
      </c>
    </row>
    <row r="55">
      <c r="A55" s="2" t="s">
        <v>117</v>
      </c>
      <c r="B55" s="1" t="s">
        <v>70</v>
      </c>
    </row>
    <row r="56">
      <c r="A56" s="2" t="s">
        <v>117</v>
      </c>
      <c r="B56" s="1" t="s">
        <v>71</v>
      </c>
    </row>
    <row r="57">
      <c r="A57" s="2" t="s">
        <v>117</v>
      </c>
      <c r="B57" s="5" t="s">
        <v>72</v>
      </c>
    </row>
    <row r="58">
      <c r="A58" s="2" t="s">
        <v>117</v>
      </c>
      <c r="B58" s="1" t="s">
        <v>73</v>
      </c>
    </row>
    <row r="59">
      <c r="A59" s="2" t="s">
        <v>117</v>
      </c>
      <c r="B59" s="1" t="s">
        <v>74</v>
      </c>
    </row>
    <row r="60">
      <c r="A60" s="2" t="s">
        <v>117</v>
      </c>
      <c r="B60" s="1" t="s">
        <v>75</v>
      </c>
    </row>
    <row r="61">
      <c r="A61" s="2" t="s">
        <v>117</v>
      </c>
      <c r="B61" s="1" t="s">
        <v>76</v>
      </c>
    </row>
    <row r="62">
      <c r="A62" s="2" t="s">
        <v>117</v>
      </c>
      <c r="B62" s="1" t="s">
        <v>77</v>
      </c>
    </row>
    <row r="63">
      <c r="A63" s="2" t="s">
        <v>117</v>
      </c>
      <c r="B63" s="1" t="s">
        <v>78</v>
      </c>
    </row>
    <row r="64">
      <c r="A64" s="2" t="s">
        <v>117</v>
      </c>
      <c r="B64" s="1" t="s">
        <v>79</v>
      </c>
    </row>
    <row r="65">
      <c r="A65" s="2" t="s">
        <v>117</v>
      </c>
      <c r="B65" s="1" t="s">
        <v>80</v>
      </c>
    </row>
    <row r="66">
      <c r="A66" s="2" t="s">
        <v>117</v>
      </c>
      <c r="B66" s="1" t="s">
        <v>81</v>
      </c>
    </row>
    <row r="67">
      <c r="A67" s="2" t="s">
        <v>117</v>
      </c>
      <c r="B67" s="5" t="s">
        <v>82</v>
      </c>
    </row>
    <row r="68">
      <c r="A68" s="2" t="s">
        <v>117</v>
      </c>
      <c r="B68" s="1" t="s">
        <v>83</v>
      </c>
    </row>
    <row r="69">
      <c r="A69" s="2" t="s">
        <v>117</v>
      </c>
      <c r="B69" s="1" t="s">
        <v>84</v>
      </c>
    </row>
    <row r="70">
      <c r="A70" s="2" t="s">
        <v>117</v>
      </c>
      <c r="B70" s="1" t="s">
        <v>85</v>
      </c>
    </row>
    <row r="71">
      <c r="A71" s="2" t="s">
        <v>117</v>
      </c>
      <c r="B71" s="1" t="s">
        <v>86</v>
      </c>
    </row>
    <row r="72">
      <c r="A72" s="2" t="s">
        <v>117</v>
      </c>
      <c r="B72" s="1" t="s">
        <v>87</v>
      </c>
    </row>
    <row r="73">
      <c r="A73" s="2" t="s">
        <v>117</v>
      </c>
      <c r="B73" s="1" t="s">
        <v>88</v>
      </c>
    </row>
    <row r="74">
      <c r="A74" s="2" t="s">
        <v>117</v>
      </c>
      <c r="B74" s="1" t="s">
        <v>89</v>
      </c>
    </row>
    <row r="75">
      <c r="A75" s="2" t="s">
        <v>117</v>
      </c>
      <c r="B75" s="1" t="s">
        <v>90</v>
      </c>
    </row>
    <row r="76">
      <c r="A76" s="2" t="s">
        <v>117</v>
      </c>
      <c r="B76" s="1" t="s">
        <v>91</v>
      </c>
    </row>
    <row r="77">
      <c r="A77" s="2" t="s">
        <v>117</v>
      </c>
      <c r="B77" s="1" t="s">
        <v>92</v>
      </c>
    </row>
    <row r="78">
      <c r="A78" s="2" t="s">
        <v>117</v>
      </c>
      <c r="B78" s="1" t="s">
        <v>93</v>
      </c>
    </row>
    <row r="79">
      <c r="A79" s="2" t="s">
        <v>117</v>
      </c>
      <c r="B79" s="1" t="s">
        <v>94</v>
      </c>
    </row>
    <row r="80">
      <c r="A80" s="2" t="s">
        <v>117</v>
      </c>
      <c r="B80" s="1" t="s">
        <v>95</v>
      </c>
    </row>
    <row r="81">
      <c r="A81" s="2" t="s">
        <v>117</v>
      </c>
      <c r="B81" s="13" t="s">
        <v>96</v>
      </c>
    </row>
    <row r="82">
      <c r="A82" s="2" t="s">
        <v>117</v>
      </c>
      <c r="B82" s="1" t="s">
        <v>98</v>
      </c>
    </row>
    <row r="83">
      <c r="A83" s="2" t="s">
        <v>117</v>
      </c>
      <c r="B83" s="1" t="s">
        <v>99</v>
      </c>
    </row>
    <row r="84">
      <c r="A84" s="2" t="s">
        <v>117</v>
      </c>
      <c r="B84" s="1" t="s">
        <v>100</v>
      </c>
    </row>
    <row r="85">
      <c r="A85" s="2" t="s">
        <v>117</v>
      </c>
      <c r="B85" s="1" t="s">
        <v>101</v>
      </c>
    </row>
    <row r="86">
      <c r="A86" s="2" t="s">
        <v>117</v>
      </c>
      <c r="B86" s="1" t="s">
        <v>102</v>
      </c>
    </row>
    <row r="87">
      <c r="A87" s="2" t="s">
        <v>117</v>
      </c>
      <c r="B87" s="1" t="s">
        <v>103</v>
      </c>
    </row>
    <row r="88">
      <c r="A88" s="2" t="s">
        <v>117</v>
      </c>
      <c r="B88" s="1" t="s">
        <v>104</v>
      </c>
    </row>
    <row r="89">
      <c r="A89" s="2" t="s">
        <v>117</v>
      </c>
      <c r="B89" s="1" t="s">
        <v>105</v>
      </c>
    </row>
    <row r="90">
      <c r="A90" s="2" t="s">
        <v>117</v>
      </c>
      <c r="B90" s="1" t="s">
        <v>106</v>
      </c>
    </row>
    <row r="91">
      <c r="A91" s="2" t="s">
        <v>117</v>
      </c>
      <c r="B91" s="1" t="s">
        <v>107</v>
      </c>
    </row>
    <row r="92">
      <c r="A92" s="2" t="s">
        <v>117</v>
      </c>
      <c r="B92" s="1" t="s">
        <v>108</v>
      </c>
    </row>
    <row r="93">
      <c r="A93" s="2" t="s">
        <v>117</v>
      </c>
      <c r="B93" s="1" t="s">
        <v>109</v>
      </c>
    </row>
    <row r="94">
      <c r="A94" s="2" t="s">
        <v>117</v>
      </c>
      <c r="B94" s="1" t="s">
        <v>110</v>
      </c>
    </row>
    <row r="95">
      <c r="A95" s="2" t="s">
        <v>117</v>
      </c>
      <c r="B95" s="1" t="s">
        <v>111</v>
      </c>
    </row>
    <row r="96">
      <c r="A96" s="2" t="s">
        <v>117</v>
      </c>
      <c r="B96" s="1" t="s">
        <v>112</v>
      </c>
    </row>
    <row r="97">
      <c r="A97" s="2" t="s">
        <v>117</v>
      </c>
      <c r="B97" s="1" t="s">
        <v>113</v>
      </c>
    </row>
    <row r="98">
      <c r="A98" s="2" t="s">
        <v>117</v>
      </c>
    </row>
    <row r="99">
      <c r="A99" s="2" t="s">
        <v>117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1.88"/>
    <col customWidth="1" min="9" max="9" width="22.75"/>
    <col customWidth="1" min="10" max="10" width="12.63"/>
    <col customWidth="1" min="11" max="11" width="18.75"/>
    <col customWidth="1" min="12" max="14" width="12.63"/>
  </cols>
  <sheetData>
    <row r="1" ht="22.5" customHeight="1">
      <c r="A1" s="38" t="s">
        <v>118</v>
      </c>
      <c r="B1" s="38" t="s">
        <v>119</v>
      </c>
      <c r="C1" s="38" t="s">
        <v>120</v>
      </c>
      <c r="D1" s="38" t="s">
        <v>121</v>
      </c>
      <c r="E1" s="38" t="s">
        <v>122</v>
      </c>
      <c r="F1" s="38" t="s">
        <v>123</v>
      </c>
      <c r="G1" s="38" t="s">
        <v>36</v>
      </c>
      <c r="H1" s="49" t="s">
        <v>124</v>
      </c>
      <c r="I1" s="49" t="s">
        <v>125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ht="22.5" customHeight="1">
      <c r="A2" s="52">
        <v>46296.0</v>
      </c>
      <c r="B2" s="53" t="s">
        <v>126</v>
      </c>
      <c r="C2" s="53" t="s">
        <v>126</v>
      </c>
      <c r="D2" s="53" t="s">
        <v>127</v>
      </c>
      <c r="E2" s="60">
        <v>0.0</v>
      </c>
      <c r="F2" s="53" t="s">
        <v>6</v>
      </c>
      <c r="G2" s="53" t="s">
        <v>128</v>
      </c>
      <c r="H2" s="53">
        <v>45000.0</v>
      </c>
      <c r="K2" s="63" t="s">
        <v>129</v>
      </c>
    </row>
    <row r="3" ht="22.5" customHeight="1">
      <c r="A3" s="52">
        <v>46296.0</v>
      </c>
      <c r="B3" s="53" t="s">
        <v>67</v>
      </c>
      <c r="C3" s="53" t="s">
        <v>130</v>
      </c>
      <c r="D3" s="53" t="s">
        <v>90</v>
      </c>
      <c r="E3" s="60">
        <v>600.0</v>
      </c>
      <c r="F3" s="53" t="s">
        <v>9</v>
      </c>
      <c r="G3" s="53" t="s">
        <v>131</v>
      </c>
      <c r="H3" s="53">
        <v>600.0</v>
      </c>
      <c r="I3" s="53" t="s">
        <v>67</v>
      </c>
      <c r="K3" s="68">
        <f>SUMIFS('流水帳'!E:E, '流水帳'!C:C, "支出", '流水帳'!I:I, "✈️出國旅遊專案")</f>
        <v>0.0</v>
      </c>
    </row>
    <row r="4" ht="22.5" customHeight="1">
      <c r="A4" s="52">
        <v>46300.0</v>
      </c>
      <c r="B4" s="53" t="s">
        <v>132</v>
      </c>
      <c r="C4" s="53" t="s">
        <v>130</v>
      </c>
      <c r="D4" s="53" t="s">
        <v>133</v>
      </c>
      <c r="E4" s="60">
        <v>0.0</v>
      </c>
      <c r="F4" s="53" t="s">
        <v>6</v>
      </c>
      <c r="G4" s="53" t="s">
        <v>134</v>
      </c>
      <c r="H4" s="53">
        <v>2000.0</v>
      </c>
    </row>
    <row r="5" ht="22.5" customHeight="1">
      <c r="A5" s="52">
        <v>46300.0</v>
      </c>
      <c r="B5" s="53" t="s">
        <v>132</v>
      </c>
      <c r="C5" s="53" t="s">
        <v>126</v>
      </c>
      <c r="D5" s="53" t="s">
        <v>135</v>
      </c>
      <c r="E5" s="60">
        <v>0.0</v>
      </c>
      <c r="F5" s="53" t="s">
        <v>3</v>
      </c>
      <c r="G5" s="53" t="s">
        <v>134</v>
      </c>
      <c r="H5" s="53">
        <v>2000.0</v>
      </c>
    </row>
    <row r="6" ht="22.5" customHeight="1">
      <c r="A6" s="52">
        <v>46315.0</v>
      </c>
      <c r="B6" s="53" t="s">
        <v>67</v>
      </c>
      <c r="C6" s="53" t="s">
        <v>130</v>
      </c>
      <c r="D6" s="53" t="s">
        <v>69</v>
      </c>
      <c r="E6" s="60">
        <v>150.0</v>
      </c>
      <c r="F6" s="53" t="s">
        <v>3</v>
      </c>
      <c r="G6" s="53" t="s">
        <v>136</v>
      </c>
      <c r="H6" s="53">
        <v>150.0</v>
      </c>
      <c r="I6" s="53" t="s">
        <v>67</v>
      </c>
    </row>
    <row r="7" ht="22.5" customHeight="1">
      <c r="A7" s="52">
        <v>46317.0</v>
      </c>
      <c r="B7" s="53" t="s">
        <v>97</v>
      </c>
      <c r="C7" s="53" t="s">
        <v>130</v>
      </c>
      <c r="D7" s="53" t="s">
        <v>95</v>
      </c>
      <c r="E7" s="60">
        <v>450.0</v>
      </c>
      <c r="F7" s="53" t="s">
        <v>12</v>
      </c>
      <c r="G7" s="53" t="s">
        <v>137</v>
      </c>
      <c r="H7" s="53">
        <v>450.0</v>
      </c>
      <c r="I7" s="53" t="s">
        <v>97</v>
      </c>
    </row>
  </sheetData>
  <customSheetViews>
    <customSheetView guid="{0054F018-6198-4D03-906C-648D65FF9EED}" filter="1" showAutoFilter="1">
      <autoFilter ref="$A$1:$I$782"/>
    </customSheetView>
    <customSheetView guid="{D0C4ADD9-E0D8-4044-82A2-7F24F4EE207B}" filter="1" showAutoFilter="1">
      <autoFilter ref="$A$1:$I$782"/>
    </customSheetView>
  </customSheetViews>
  <mergeCells count="1">
    <mergeCell ref="J7:N7"/>
  </mergeCells>
  <dataValidations>
    <dataValidation type="custom" allowBlank="1" showDropDown="1" sqref="A2:A782">
      <formula1>OR(NOT(ISERROR(DATEVALUE(A2))), AND(ISNUMBER(A2), LEFT(CELL("format", A2))="D"))</formula1>
    </dataValidation>
    <dataValidation type="custom" allowBlank="1" showDropDown="1" sqref="E2:E782">
      <formula1>AND(ISNUMBER(E2),(NOT(OR(NOT(ISERROR(DATEVALUE(E2))), AND(ISNUMBER(E2), LEFT(CELL("format", E2))="D")))))</formula1>
    </dataValidation>
    <dataValidation allowBlank="1" showDropDown="1" sqref="C2:C78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0"/>
    <col customWidth="1" min="7" max="8" width="14.38"/>
    <col customWidth="1" min="9" max="9" width="14.25"/>
    <col customWidth="1" min="10" max="10" width="17.88"/>
  </cols>
  <sheetData>
    <row r="1">
      <c r="A1" s="5" t="s">
        <v>138</v>
      </c>
      <c r="B1" s="5">
        <v>2026.0</v>
      </c>
      <c r="C1" s="5" t="s">
        <v>139</v>
      </c>
      <c r="D1" s="5">
        <v>10.0</v>
      </c>
      <c r="H1" s="108" t="s">
        <v>140</v>
      </c>
      <c r="I1" s="108" t="s">
        <v>141</v>
      </c>
      <c r="J1" s="110"/>
      <c r="K1" s="111"/>
    </row>
    <row r="2">
      <c r="H2" s="116">
        <f>SUMIFS('流水帳'!E:E, '流水帳'!C:C, "支出", '流水帳'!J:J, "&lt;&gt;代墊費", '流水帳'!A:A, "&gt;="&amp;DATE(B1,D1,1), '流水帳'!A:A, "&lt;="&amp;EOMONTH(DATE(B1,D1,1),0))</f>
        <v>1200</v>
      </c>
      <c r="I2" s="116">
        <f>SUMIFS('流水帳'!H:H, '流水帳'!A:A, "&gt;="&amp;DATE(B1,D1,1), '流水帳'!A:A, "&lt;="&amp;EOMONTH(DATE(B1,D1,1),0), '流水帳'!C:C, "收入", '流水帳'!B:B, "&lt;&gt;轉帳", '流水帳'!B:B, "&lt;&gt;餘額校準")</f>
        <v>45000</v>
      </c>
      <c r="J2" s="110"/>
      <c r="K2" s="111"/>
    </row>
    <row r="3">
      <c r="J3" s="110"/>
      <c r="K3" s="111"/>
    </row>
    <row r="4">
      <c r="A4" s="124" t="str">
        <f>IFERROR(__xludf.DUMMYFUNCTION("QUERY('流水帳'!A:H, ""SELECT * WHERE A IS NOT NULL AND YEAR(A) = "" &amp; B1 &amp; "" AND MONTH(A) = "" &amp; (D1-1) &amp; "" ORDER BY A DESC"", 1)"),"日期")</f>
        <v>日期</v>
      </c>
      <c r="B4" s="124" t="str">
        <f>IFERROR(__xludf.DUMMYFUNCTION("""COMPUTED_VALUE"""),"類別")</f>
        <v>類別</v>
      </c>
      <c r="C4" s="124" t="str">
        <f>IFERROR(__xludf.DUMMYFUNCTION("""COMPUTED_VALUE"""),"收支")</f>
        <v>收支</v>
      </c>
      <c r="D4" s="124" t="str">
        <f>IFERROR(__xludf.DUMMYFUNCTION("""COMPUTED_VALUE"""),"項目")</f>
        <v>項目</v>
      </c>
      <c r="E4" s="124" t="str">
        <f>IFERROR(__xludf.DUMMYFUNCTION("""COMPUTED_VALUE"""),"金額")</f>
        <v>金額</v>
      </c>
      <c r="F4" s="124" t="str">
        <f>IFERROR(__xludf.DUMMYFUNCTION("""COMPUTED_VALUE"""),"帳戶/路徑")</f>
        <v>帳戶/路徑</v>
      </c>
      <c r="G4" s="124" t="str">
        <f>IFERROR(__xludf.DUMMYFUNCTION("""COMPUTED_VALUE"""),"備註")</f>
        <v>備註</v>
      </c>
      <c r="H4" s="124" t="str">
        <f>IFERROR(__xludf.DUMMYFUNCTION("""COMPUTED_VALUE"""),"H 原始金額 (必加)")</f>
        <v>H 原始金額 (必加)</v>
      </c>
      <c r="J4" s="108" t="s">
        <v>118</v>
      </c>
      <c r="K4" s="108" t="s">
        <v>142</v>
      </c>
      <c r="L4" s="108" t="s">
        <v>143</v>
      </c>
    </row>
    <row r="5">
      <c r="J5" s="126">
        <f t="array" ref="J5:J35">SEQUENCE(DAY(EOMONTH(DATE(B1,D1,1),0)), 1, DATE(B1,D1,1))</f>
        <v>46296</v>
      </c>
      <c r="K5" s="116">
        <f t="array" ref="K5:K35">MAP(J5:INDEX(J5:J1000, DAY(EOMONTH(DATE(B1,D1,1),0))), LAMBDA(d, SUMIFS('流水帳'!E:E, '流水帳'!A:A, d, '流水帳'!C:C, "支出")))</f>
        <v>600.0</v>
      </c>
      <c r="L5" s="116">
        <f t="array" ref="L5:L35">MAP(J5:INDEX(J5:J1000, DAY(EOMONTH(DATE(B1,D1,1),0))), LAMBDA(d, SUMIFS('流水帳'!H:H, '流水帳'!A:A, d, '流水帳'!C:C, "收入", '流水帳'!B:B, "&lt;&gt;轉帳", '流水帳'!B:B, "&lt;&gt;餘額校準")))</f>
        <v>45000.0</v>
      </c>
      <c r="A5" s="125">
        <f>IFERROR(__xludf.DUMMYFUNCTION("""COMPUTED_VALUE"""),46317.0)</f>
        <v>46317</v>
      </c>
      <c r="B5" s="116" t="str">
        <f>IFERROR(__xludf.DUMMYFUNCTION("""COMPUTED_VALUE"""),"特支費")</f>
        <v>特支費</v>
      </c>
      <c r="C5" s="116" t="str">
        <f>IFERROR(__xludf.DUMMYFUNCTION("""COMPUTED_VALUE"""),"支出")</f>
        <v>支出</v>
      </c>
      <c r="D5" s="116" t="str">
        <f>IFERROR(__xludf.DUMMYFUNCTION("""COMPUTED_VALUE"""),"書籍/雜誌")</f>
        <v>書籍/雜誌</v>
      </c>
      <c r="E5" s="116">
        <f>IFERROR(__xludf.DUMMYFUNCTION("""COMPUTED_VALUE"""),450.0)</f>
        <v>450</v>
      </c>
      <c r="F5" s="116" t="str">
        <f>IFERROR(__xludf.DUMMYFUNCTION("""COMPUTED_VALUE"""),"💳富邦J卡")</f>
        <v>💳富邦J卡</v>
      </c>
      <c r="G5" s="116" t="str">
        <f>IFERROR(__xludf.DUMMYFUNCTION("""COMPUTED_VALUE"""),"範例特支消費")</f>
        <v>範例特支消費</v>
      </c>
      <c r="H5" s="116">
        <f>IFERROR(__xludf.DUMMYFUNCTION("""COMPUTED_VALUE"""),450.0)</f>
        <v>450</v>
      </c>
    </row>
    <row r="6">
      <c r="J6" s="126">
        <v>46297.0</v>
      </c>
      <c r="K6" s="129">
        <v>0.0</v>
      </c>
      <c r="L6" s="116">
        <v>0.0</v>
      </c>
      <c r="A6" s="125">
        <f>IFERROR(__xludf.DUMMYFUNCTION("""COMPUTED_VALUE"""),46315.0)</f>
        <v>46315</v>
      </c>
      <c r="B6" s="116" t="str">
        <f>IFERROR(__xludf.DUMMYFUNCTION("""COMPUTED_VALUE"""),"一般花費")</f>
        <v>一般花費</v>
      </c>
      <c r="C6" s="116" t="str">
        <f>IFERROR(__xludf.DUMMYFUNCTION("""COMPUTED_VALUE"""),"支出")</f>
        <v>支出</v>
      </c>
      <c r="D6" s="116" t="str">
        <f>IFERROR(__xludf.DUMMYFUNCTION("""COMPUTED_VALUE"""),"午餐")</f>
        <v>午餐</v>
      </c>
      <c r="E6" s="116">
        <f>IFERROR(__xludf.DUMMYFUNCTION("""COMPUTED_VALUE"""),150.0)</f>
        <v>150</v>
      </c>
      <c r="F6" s="116" t="str">
        <f>IFERROR(__xludf.DUMMYFUNCTION("""COMPUTED_VALUE"""),"👛錢包")</f>
        <v>👛錢包</v>
      </c>
      <c r="G6" s="116" t="str">
        <f>IFERROR(__xludf.DUMMYFUNCTION("""COMPUTED_VALUE"""),"範例一般支出")</f>
        <v>範例一般支出</v>
      </c>
      <c r="H6" s="116">
        <f>IFERROR(__xludf.DUMMYFUNCTION("""COMPUTED_VALUE"""),150.0)</f>
        <v>150</v>
      </c>
    </row>
    <row r="7">
      <c r="J7" s="126">
        <v>46298.0</v>
      </c>
      <c r="K7" s="129">
        <v>0.0</v>
      </c>
      <c r="L7" s="116">
        <v>0.0</v>
      </c>
      <c r="A7" s="125">
        <f>IFERROR(__xludf.DUMMYFUNCTION("""COMPUTED_VALUE"""),46300.0)</f>
        <v>46300</v>
      </c>
      <c r="B7" s="116" t="str">
        <f>IFERROR(__xludf.DUMMYFUNCTION("""COMPUTED_VALUE"""),"轉帳")</f>
        <v>轉帳</v>
      </c>
      <c r="C7" s="116" t="str">
        <f>IFERROR(__xludf.DUMMYFUNCTION("""COMPUTED_VALUE"""),"收入")</f>
        <v>收入</v>
      </c>
      <c r="D7" s="116" t="str">
        <f>IFERROR(__xludf.DUMMYFUNCTION("""COMPUTED_VALUE"""),"來自 🏦玉山生活 轉入")</f>
        <v>來自 🏦玉山生活 轉入</v>
      </c>
      <c r="E7" s="116">
        <f>IFERROR(__xludf.DUMMYFUNCTION("""COMPUTED_VALUE"""),0.0)</f>
        <v>0</v>
      </c>
      <c r="F7" s="116" t="str">
        <f>IFERROR(__xludf.DUMMYFUNCTION("""COMPUTED_VALUE"""),"👛錢包")</f>
        <v>👛錢包</v>
      </c>
      <c r="G7" s="116" t="str">
        <f>IFERROR(__xludf.DUMMYFUNCTION("""COMPUTED_VALUE"""),"TWD 轉帳")</f>
        <v>TWD 轉帳</v>
      </c>
      <c r="H7" s="116">
        <f>IFERROR(__xludf.DUMMYFUNCTION("""COMPUTED_VALUE"""),2000.0)</f>
        <v>2000</v>
      </c>
    </row>
    <row r="8">
      <c r="J8" s="126">
        <v>46299.0</v>
      </c>
      <c r="K8" s="129">
        <v>0.0</v>
      </c>
      <c r="L8" s="116">
        <v>0.0</v>
      </c>
      <c r="A8" s="125">
        <f>IFERROR(__xludf.DUMMYFUNCTION("""COMPUTED_VALUE"""),46300.0)</f>
        <v>46300</v>
      </c>
      <c r="B8" s="116" t="str">
        <f>IFERROR(__xludf.DUMMYFUNCTION("""COMPUTED_VALUE"""),"轉帳")</f>
        <v>轉帳</v>
      </c>
      <c r="C8" s="116" t="str">
        <f>IFERROR(__xludf.DUMMYFUNCTION("""COMPUTED_VALUE"""),"支出")</f>
        <v>支出</v>
      </c>
      <c r="D8" s="116" t="str">
        <f>IFERROR(__xludf.DUMMYFUNCTION("""COMPUTED_VALUE"""),"轉出至 👛錢包")</f>
        <v>轉出至 👛錢包</v>
      </c>
      <c r="E8" s="116">
        <f>IFERROR(__xludf.DUMMYFUNCTION("""COMPUTED_VALUE"""),0.0)</f>
        <v>0</v>
      </c>
      <c r="F8" s="116" t="str">
        <f>IFERROR(__xludf.DUMMYFUNCTION("""COMPUTED_VALUE"""),"🏦玉山生活")</f>
        <v>🏦玉山生活</v>
      </c>
      <c r="G8" s="116" t="str">
        <f>IFERROR(__xludf.DUMMYFUNCTION("""COMPUTED_VALUE"""),"TWD 轉帳")</f>
        <v>TWD 轉帳</v>
      </c>
      <c r="H8" s="116">
        <f>IFERROR(__xludf.DUMMYFUNCTION("""COMPUTED_VALUE"""),2000.0)</f>
        <v>2000</v>
      </c>
    </row>
    <row r="9">
      <c r="J9" s="126">
        <v>46300.0</v>
      </c>
      <c r="K9" s="129">
        <v>0.0</v>
      </c>
      <c r="L9" s="116">
        <v>0.0</v>
      </c>
      <c r="A9" s="125">
        <f>IFERROR(__xludf.DUMMYFUNCTION("""COMPUTED_VALUE"""),46296.0)</f>
        <v>46296</v>
      </c>
      <c r="B9" s="116" t="str">
        <f>IFERROR(__xludf.DUMMYFUNCTION("""COMPUTED_VALUE"""),"一般花費")</f>
        <v>一般花費</v>
      </c>
      <c r="C9" s="116" t="str">
        <f>IFERROR(__xludf.DUMMYFUNCTION("""COMPUTED_VALUE"""),"支出")</f>
        <v>支出</v>
      </c>
      <c r="D9" s="116" t="str">
        <f>IFERROR(__xludf.DUMMYFUNCTION("""COMPUTED_VALUE"""),"電信費")</f>
        <v>電信費</v>
      </c>
      <c r="E9" s="116">
        <f>IFERROR(__xludf.DUMMYFUNCTION("""COMPUTED_VALUE"""),600.0)</f>
        <v>600</v>
      </c>
      <c r="F9" s="116" t="str">
        <f>IFERROR(__xludf.DUMMYFUNCTION("""COMPUTED_VALUE"""),"🏦郵局")</f>
        <v>🏦郵局</v>
      </c>
      <c r="G9" s="116" t="str">
        <f>IFERROR(__xludf.DUMMYFUNCTION("""COMPUTED_VALUE"""),"(自動) 範例固定扣款")</f>
        <v>(自動) 範例固定扣款</v>
      </c>
      <c r="H9" s="116">
        <f>IFERROR(__xludf.DUMMYFUNCTION("""COMPUTED_VALUE"""),600.0)</f>
        <v>600</v>
      </c>
    </row>
    <row r="10">
      <c r="J10" s="126">
        <v>46301.0</v>
      </c>
      <c r="K10" s="129">
        <v>0.0</v>
      </c>
      <c r="L10" s="116">
        <v>0.0</v>
      </c>
      <c r="A10" s="125">
        <f>IFERROR(__xludf.DUMMYFUNCTION("""COMPUTED_VALUE"""),46296.0)</f>
        <v>46296</v>
      </c>
      <c r="B10" s="116" t="str">
        <f>IFERROR(__xludf.DUMMYFUNCTION("""COMPUTED_VALUE"""),"收入")</f>
        <v>收入</v>
      </c>
      <c r="C10" s="116" t="str">
        <f>IFERROR(__xludf.DUMMYFUNCTION("""COMPUTED_VALUE"""),"收入")</f>
        <v>收入</v>
      </c>
      <c r="D10" s="116" t="str">
        <f>IFERROR(__xludf.DUMMYFUNCTION("""COMPUTED_VALUE"""),"10月薪資 (範例)")</f>
        <v>10月薪資 (範例)</v>
      </c>
      <c r="E10" s="116">
        <f>IFERROR(__xludf.DUMMYFUNCTION("""COMPUTED_VALUE"""),0.0)</f>
        <v>0</v>
      </c>
      <c r="F10" s="116" t="str">
        <f>IFERROR(__xludf.DUMMYFUNCTION("""COMPUTED_VALUE"""),"🏦玉山生活")</f>
        <v>🏦玉山生活</v>
      </c>
      <c r="G10" s="116" t="str">
        <f>IFERROR(__xludf.DUMMYFUNCTION("""COMPUTED_VALUE"""),"TWD 收入")</f>
        <v>TWD 收入</v>
      </c>
      <c r="H10" s="116">
        <f>IFERROR(__xludf.DUMMYFUNCTION("""COMPUTED_VALUE"""),45000.0)</f>
        <v>45000</v>
      </c>
    </row>
    <row r="11">
      <c r="J11" s="126">
        <v>46302.0</v>
      </c>
      <c r="K11" s="129">
        <v>0.0</v>
      </c>
      <c r="L11" s="116">
        <v>0.0</v>
      </c>
    </row>
    <row r="12">
      <c r="J12" s="126">
        <v>46303.0</v>
      </c>
      <c r="K12" s="129">
        <v>0.0</v>
      </c>
      <c r="L12" s="116">
        <v>0.0</v>
      </c>
    </row>
    <row r="13">
      <c r="J13" s="126">
        <v>46304.0</v>
      </c>
      <c r="K13" s="129">
        <v>0.0</v>
      </c>
      <c r="L13" s="116">
        <v>0.0</v>
      </c>
    </row>
    <row r="14">
      <c r="J14" s="126">
        <v>46305.0</v>
      </c>
      <c r="K14" s="129">
        <v>0.0</v>
      </c>
      <c r="L14" s="116">
        <v>0.0</v>
      </c>
    </row>
    <row r="15">
      <c r="J15" s="126">
        <v>46306.0</v>
      </c>
      <c r="K15" s="129">
        <v>0.0</v>
      </c>
      <c r="L15" s="116">
        <v>0.0</v>
      </c>
    </row>
    <row r="16">
      <c r="J16" s="126">
        <v>46307.0</v>
      </c>
      <c r="K16" s="129">
        <v>0.0</v>
      </c>
      <c r="L16" s="116">
        <v>0.0</v>
      </c>
    </row>
    <row r="17">
      <c r="J17" s="126">
        <v>46308.0</v>
      </c>
      <c r="K17" s="129">
        <v>0.0</v>
      </c>
      <c r="L17" s="116">
        <v>0.0</v>
      </c>
    </row>
    <row r="18">
      <c r="J18" s="126">
        <v>46309.0</v>
      </c>
      <c r="K18" s="129">
        <v>0.0</v>
      </c>
      <c r="L18" s="116">
        <v>0.0</v>
      </c>
    </row>
    <row r="19">
      <c r="J19" s="126">
        <v>46310.0</v>
      </c>
      <c r="K19" s="129">
        <v>0.0</v>
      </c>
      <c r="L19" s="116">
        <v>0.0</v>
      </c>
    </row>
    <row r="20">
      <c r="J20" s="126">
        <v>46311.0</v>
      </c>
      <c r="K20" s="129">
        <v>0.0</v>
      </c>
      <c r="L20" s="116">
        <v>0.0</v>
      </c>
    </row>
    <row r="21">
      <c r="J21" s="126">
        <v>46312.0</v>
      </c>
      <c r="K21" s="129">
        <v>0.0</v>
      </c>
      <c r="L21" s="116">
        <v>0.0</v>
      </c>
    </row>
    <row r="22">
      <c r="J22" s="126">
        <v>46313.0</v>
      </c>
      <c r="K22" s="129">
        <v>0.0</v>
      </c>
      <c r="L22" s="116">
        <v>0.0</v>
      </c>
    </row>
    <row r="23">
      <c r="J23" s="126">
        <v>46314.0</v>
      </c>
      <c r="K23" s="129">
        <v>0.0</v>
      </c>
      <c r="L23" s="116">
        <v>0.0</v>
      </c>
    </row>
    <row r="24">
      <c r="J24" s="126">
        <v>46315.0</v>
      </c>
      <c r="K24" s="129">
        <v>150.0</v>
      </c>
      <c r="L24" s="116">
        <v>0.0</v>
      </c>
    </row>
    <row r="25">
      <c r="J25" s="126">
        <v>46316.0</v>
      </c>
      <c r="K25" s="129">
        <v>0.0</v>
      </c>
      <c r="L25" s="116">
        <v>0.0</v>
      </c>
    </row>
    <row r="26">
      <c r="J26" s="126">
        <v>46317.0</v>
      </c>
      <c r="K26" s="129">
        <v>450.0</v>
      </c>
      <c r="L26" s="116">
        <v>0.0</v>
      </c>
    </row>
    <row r="27">
      <c r="J27" s="126">
        <v>46318.0</v>
      </c>
      <c r="K27" s="129">
        <v>0.0</v>
      </c>
      <c r="L27" s="116">
        <v>0.0</v>
      </c>
    </row>
    <row r="28">
      <c r="J28" s="126">
        <v>46319.0</v>
      </c>
      <c r="K28" s="129">
        <v>0.0</v>
      </c>
      <c r="L28" s="116">
        <v>0.0</v>
      </c>
    </row>
    <row r="29">
      <c r="J29" s="126">
        <v>46320.0</v>
      </c>
      <c r="K29" s="129">
        <v>0.0</v>
      </c>
      <c r="L29" s="116">
        <v>0.0</v>
      </c>
    </row>
    <row r="30">
      <c r="J30" s="126">
        <v>46321.0</v>
      </c>
      <c r="K30" s="129">
        <v>0.0</v>
      </c>
      <c r="L30" s="116">
        <v>0.0</v>
      </c>
    </row>
    <row r="31">
      <c r="J31" s="126">
        <v>46322.0</v>
      </c>
      <c r="K31" s="129">
        <v>0.0</v>
      </c>
      <c r="L31" s="116">
        <v>0.0</v>
      </c>
    </row>
    <row r="32">
      <c r="J32" s="126">
        <v>46323.0</v>
      </c>
      <c r="K32" s="129">
        <v>0.0</v>
      </c>
      <c r="L32" s="116">
        <v>0.0</v>
      </c>
    </row>
    <row r="33">
      <c r="J33" s="126">
        <v>46324.0</v>
      </c>
      <c r="K33" s="129">
        <v>0.0</v>
      </c>
      <c r="L33" s="116">
        <v>0.0</v>
      </c>
    </row>
    <row r="34">
      <c r="J34" s="126">
        <v>46325.0</v>
      </c>
      <c r="K34" s="129">
        <v>0.0</v>
      </c>
      <c r="L34" s="116">
        <v>0.0</v>
      </c>
    </row>
    <row r="35">
      <c r="J35" s="126">
        <v>46326.0</v>
      </c>
      <c r="K35" s="129">
        <v>0.0</v>
      </c>
      <c r="L35" s="116">
        <v>0.0</v>
      </c>
    </row>
    <row r="36">
      <c r="J36" s="110"/>
      <c r="K36" s="111"/>
    </row>
    <row r="37">
      <c r="J37" s="110"/>
      <c r="K37" s="111"/>
    </row>
    <row r="38">
      <c r="J38" s="110"/>
      <c r="K38" s="111"/>
    </row>
    <row r="39">
      <c r="J39" s="110"/>
      <c r="K39" s="111"/>
    </row>
    <row r="40">
      <c r="J40" s="110"/>
      <c r="K40" s="111"/>
    </row>
    <row r="41">
      <c r="J41" s="110"/>
      <c r="K41" s="111"/>
    </row>
    <row r="42">
      <c r="J42" s="110"/>
      <c r="K42" s="111"/>
    </row>
    <row r="43">
      <c r="J43" s="110"/>
      <c r="K43" s="111"/>
    </row>
    <row r="44">
      <c r="J44" s="110"/>
      <c r="K44" s="111"/>
    </row>
    <row r="45">
      <c r="J45" s="110"/>
      <c r="K45" s="111"/>
    </row>
    <row r="46">
      <c r="J46" s="110"/>
      <c r="K46" s="111"/>
    </row>
    <row r="47">
      <c r="J47" s="110"/>
      <c r="K47" s="111"/>
    </row>
    <row r="48">
      <c r="J48" s="110"/>
      <c r="K48" s="111"/>
    </row>
    <row r="49">
      <c r="J49" s="110"/>
      <c r="K49" s="111"/>
    </row>
    <row r="50">
      <c r="J50" s="110"/>
      <c r="K50" s="111"/>
    </row>
    <row r="51">
      <c r="J51" s="110"/>
      <c r="K51" s="111"/>
    </row>
    <row r="52">
      <c r="J52" s="110"/>
      <c r="K52" s="111"/>
    </row>
    <row r="53">
      <c r="J53" s="110"/>
      <c r="K53" s="111"/>
    </row>
    <row r="54">
      <c r="J54" s="110"/>
      <c r="K54" s="111"/>
    </row>
    <row r="55">
      <c r="J55" s="110"/>
      <c r="K55" s="111"/>
    </row>
    <row r="56">
      <c r="J56" s="110"/>
      <c r="K56" s="111"/>
    </row>
    <row r="57">
      <c r="J57" s="110"/>
      <c r="K57" s="111"/>
    </row>
    <row r="58">
      <c r="J58" s="110"/>
      <c r="K58" s="111"/>
    </row>
    <row r="59">
      <c r="J59" s="110"/>
      <c r="K59" s="111"/>
    </row>
    <row r="60">
      <c r="J60" s="110"/>
      <c r="K60" s="111"/>
    </row>
    <row r="61">
      <c r="J61" s="110"/>
      <c r="K61" s="111"/>
    </row>
    <row r="62">
      <c r="J62" s="110"/>
      <c r="K62" s="111"/>
    </row>
    <row r="63">
      <c r="J63" s="110"/>
      <c r="K63" s="111"/>
    </row>
    <row r="64">
      <c r="J64" s="110"/>
      <c r="K64" s="111"/>
    </row>
    <row r="65">
      <c r="J65" s="110"/>
      <c r="K65" s="111"/>
    </row>
    <row r="66">
      <c r="J66" s="110"/>
      <c r="K66" s="111"/>
    </row>
    <row r="67">
      <c r="J67" s="110"/>
      <c r="K67" s="111"/>
    </row>
    <row r="68">
      <c r="J68" s="110"/>
      <c r="K68" s="111"/>
    </row>
    <row r="69">
      <c r="J69" s="110"/>
      <c r="K69" s="111"/>
    </row>
    <row r="70">
      <c r="J70" s="110"/>
      <c r="K70" s="111"/>
    </row>
    <row r="71">
      <c r="J71" s="110"/>
      <c r="K71" s="111"/>
    </row>
    <row r="72">
      <c r="J72" s="110"/>
      <c r="K72" s="111"/>
    </row>
    <row r="73">
      <c r="J73" s="110"/>
      <c r="K73" s="111"/>
    </row>
    <row r="74">
      <c r="J74" s="110"/>
      <c r="K74" s="111"/>
    </row>
    <row r="75">
      <c r="J75" s="110"/>
      <c r="K75" s="111"/>
    </row>
    <row r="76">
      <c r="J76" s="110"/>
      <c r="K76" s="111"/>
    </row>
    <row r="77">
      <c r="J77" s="110"/>
      <c r="K77" s="111"/>
    </row>
    <row r="78">
      <c r="J78" s="110"/>
      <c r="K78" s="111"/>
    </row>
    <row r="79">
      <c r="J79" s="110"/>
      <c r="K79" s="111"/>
    </row>
    <row r="80">
      <c r="J80" s="110"/>
      <c r="K80" s="111"/>
    </row>
    <row r="81">
      <c r="J81" s="110"/>
      <c r="K81" s="111"/>
    </row>
    <row r="82">
      <c r="J82" s="110"/>
      <c r="K82" s="111"/>
    </row>
    <row r="83">
      <c r="J83" s="110"/>
      <c r="K83" s="111"/>
    </row>
    <row r="84">
      <c r="J84" s="110"/>
      <c r="K84" s="111"/>
    </row>
    <row r="85">
      <c r="J85" s="110"/>
      <c r="K85" s="111"/>
    </row>
    <row r="86">
      <c r="J86" s="110"/>
      <c r="K86" s="111"/>
    </row>
    <row r="87">
      <c r="J87" s="110"/>
      <c r="K87" s="111"/>
    </row>
    <row r="88">
      <c r="J88" s="110"/>
      <c r="K88" s="111"/>
    </row>
    <row r="89">
      <c r="J89" s="110"/>
      <c r="K89" s="111"/>
    </row>
    <row r="90">
      <c r="J90" s="110"/>
      <c r="K90" s="111"/>
    </row>
    <row r="91">
      <c r="J91" s="110"/>
      <c r="K91" s="111"/>
    </row>
    <row r="92">
      <c r="J92" s="110"/>
      <c r="K92" s="111"/>
    </row>
    <row r="93">
      <c r="J93" s="110"/>
      <c r="K93" s="111"/>
    </row>
    <row r="94">
      <c r="J94" s="110"/>
      <c r="K94" s="111"/>
    </row>
    <row r="95">
      <c r="J95" s="110"/>
      <c r="K95" s="111"/>
    </row>
    <row r="96">
      <c r="J96" s="110"/>
      <c r="K96" s="111"/>
    </row>
    <row r="97">
      <c r="J97" s="110"/>
      <c r="K97" s="111"/>
    </row>
    <row r="98">
      <c r="J98" s="110"/>
      <c r="K98" s="111"/>
    </row>
    <row r="99">
      <c r="J99" s="110"/>
      <c r="K99" s="111"/>
    </row>
    <row r="100">
      <c r="J100" s="110"/>
      <c r="K100" s="111"/>
    </row>
    <row r="101">
      <c r="J101" s="110"/>
      <c r="K101" s="111"/>
    </row>
    <row r="102">
      <c r="J102" s="110"/>
      <c r="K102" s="111"/>
    </row>
    <row r="103">
      <c r="J103" s="110"/>
      <c r="K103" s="111"/>
    </row>
    <row r="104">
      <c r="J104" s="110"/>
      <c r="K104" s="111"/>
    </row>
    <row r="105">
      <c r="J105" s="110"/>
      <c r="K105" s="111"/>
    </row>
    <row r="106">
      <c r="J106" s="110"/>
      <c r="K106" s="111"/>
    </row>
    <row r="107">
      <c r="J107" s="110"/>
      <c r="K107" s="111"/>
    </row>
    <row r="108">
      <c r="J108" s="110"/>
      <c r="K108" s="111"/>
    </row>
    <row r="109">
      <c r="J109" s="110"/>
      <c r="K109" s="111"/>
    </row>
    <row r="110">
      <c r="J110" s="110"/>
      <c r="K110" s="111"/>
    </row>
    <row r="111">
      <c r="J111" s="110"/>
      <c r="K111" s="111"/>
    </row>
    <row r="112">
      <c r="J112" s="110"/>
      <c r="K112" s="111"/>
    </row>
    <row r="113">
      <c r="J113" s="110"/>
      <c r="K113" s="111"/>
    </row>
    <row r="114">
      <c r="J114" s="110"/>
      <c r="K114" s="111"/>
    </row>
    <row r="115">
      <c r="J115" s="110"/>
      <c r="K115" s="111"/>
    </row>
    <row r="116">
      <c r="J116" s="110"/>
      <c r="K116" s="111"/>
    </row>
    <row r="117">
      <c r="J117" s="110"/>
      <c r="K117" s="111"/>
    </row>
    <row r="118">
      <c r="J118" s="110"/>
      <c r="K118" s="111"/>
    </row>
    <row r="119">
      <c r="J119" s="110"/>
      <c r="K119" s="111"/>
    </row>
    <row r="120">
      <c r="J120" s="110"/>
      <c r="K120" s="111"/>
    </row>
    <row r="121">
      <c r="J121" s="110"/>
      <c r="K121" s="111"/>
    </row>
    <row r="122">
      <c r="J122" s="110"/>
      <c r="K122" s="111"/>
    </row>
    <row r="123">
      <c r="J123" s="110"/>
      <c r="K123" s="111"/>
    </row>
    <row r="124">
      <c r="J124" s="110"/>
      <c r="K124" s="111"/>
    </row>
    <row r="125">
      <c r="J125" s="110"/>
      <c r="K125" s="111"/>
    </row>
    <row r="126">
      <c r="J126" s="110"/>
      <c r="K126" s="111"/>
    </row>
    <row r="127">
      <c r="J127" s="110"/>
      <c r="K127" s="111"/>
    </row>
    <row r="128">
      <c r="J128" s="110"/>
      <c r="K128" s="111"/>
    </row>
    <row r="129">
      <c r="J129" s="110"/>
      <c r="K129" s="111"/>
    </row>
    <row r="130">
      <c r="J130" s="110"/>
      <c r="K130" s="111"/>
    </row>
    <row r="131">
      <c r="J131" s="110"/>
      <c r="K131" s="111"/>
    </row>
    <row r="132">
      <c r="J132" s="110"/>
      <c r="K132" s="111"/>
    </row>
    <row r="133">
      <c r="J133" s="110"/>
      <c r="K133" s="111"/>
    </row>
    <row r="134">
      <c r="J134" s="110"/>
      <c r="K134" s="111"/>
    </row>
    <row r="135">
      <c r="J135" s="110"/>
      <c r="K135" s="111"/>
    </row>
    <row r="136">
      <c r="J136" s="110"/>
      <c r="K136" s="111"/>
    </row>
    <row r="137">
      <c r="J137" s="110"/>
      <c r="K137" s="111"/>
    </row>
    <row r="138">
      <c r="J138" s="110"/>
      <c r="K138" s="111"/>
    </row>
    <row r="139">
      <c r="J139" s="110"/>
      <c r="K139" s="111"/>
    </row>
    <row r="140">
      <c r="J140" s="110"/>
      <c r="K140" s="111"/>
    </row>
    <row r="141">
      <c r="J141" s="110"/>
      <c r="K141" s="111"/>
    </row>
    <row r="142">
      <c r="J142" s="110"/>
      <c r="K142" s="111"/>
    </row>
    <row r="143">
      <c r="J143" s="110"/>
      <c r="K143" s="111"/>
    </row>
    <row r="144">
      <c r="J144" s="110"/>
      <c r="K144" s="111"/>
    </row>
    <row r="145">
      <c r="J145" s="110"/>
      <c r="K145" s="111"/>
    </row>
    <row r="146">
      <c r="J146" s="110"/>
      <c r="K146" s="111"/>
    </row>
    <row r="147">
      <c r="J147" s="110"/>
      <c r="K147" s="111"/>
    </row>
    <row r="148">
      <c r="J148" s="110"/>
      <c r="K148" s="111"/>
    </row>
    <row r="149">
      <c r="J149" s="110"/>
      <c r="K149" s="111"/>
    </row>
    <row r="150">
      <c r="J150" s="110"/>
      <c r="K150" s="111"/>
    </row>
    <row r="151">
      <c r="J151" s="110"/>
      <c r="K151" s="111"/>
    </row>
    <row r="152">
      <c r="J152" s="110"/>
      <c r="K152" s="111"/>
    </row>
    <row r="153">
      <c r="J153" s="110"/>
      <c r="K153" s="111"/>
    </row>
    <row r="154">
      <c r="J154" s="110"/>
      <c r="K154" s="111"/>
    </row>
    <row r="155">
      <c r="J155" s="110"/>
      <c r="K155" s="111"/>
    </row>
    <row r="156">
      <c r="J156" s="110"/>
      <c r="K156" s="111"/>
    </row>
    <row r="157">
      <c r="J157" s="110"/>
      <c r="K157" s="111"/>
    </row>
    <row r="158">
      <c r="J158" s="110"/>
      <c r="K158" s="111"/>
    </row>
    <row r="159">
      <c r="J159" s="110"/>
      <c r="K159" s="111"/>
    </row>
    <row r="160">
      <c r="J160" s="110"/>
      <c r="K160" s="111"/>
    </row>
    <row r="161">
      <c r="J161" s="110"/>
      <c r="K161" s="111"/>
    </row>
    <row r="162">
      <c r="J162" s="110"/>
      <c r="K162" s="111"/>
    </row>
    <row r="163">
      <c r="J163" s="110"/>
      <c r="K163" s="111"/>
    </row>
    <row r="164">
      <c r="J164" s="110"/>
      <c r="K164" s="111"/>
    </row>
    <row r="165">
      <c r="J165" s="110"/>
      <c r="K165" s="111"/>
    </row>
    <row r="166">
      <c r="J166" s="110"/>
      <c r="K166" s="111"/>
    </row>
    <row r="167">
      <c r="J167" s="110"/>
      <c r="K167" s="111"/>
    </row>
    <row r="168">
      <c r="J168" s="110"/>
      <c r="K168" s="111"/>
    </row>
    <row r="169">
      <c r="J169" s="110"/>
      <c r="K169" s="111"/>
    </row>
    <row r="170">
      <c r="J170" s="110"/>
      <c r="K170" s="111"/>
    </row>
    <row r="171">
      <c r="J171" s="110"/>
      <c r="K171" s="111"/>
    </row>
    <row r="172">
      <c r="J172" s="110"/>
      <c r="K172" s="111"/>
    </row>
    <row r="173">
      <c r="J173" s="110"/>
      <c r="K173" s="111"/>
    </row>
    <row r="174">
      <c r="J174" s="110"/>
      <c r="K174" s="111"/>
    </row>
    <row r="175">
      <c r="J175" s="110"/>
      <c r="K175" s="111"/>
    </row>
    <row r="176">
      <c r="J176" s="110"/>
      <c r="K176" s="111"/>
    </row>
    <row r="177">
      <c r="J177" s="110"/>
      <c r="K177" s="111"/>
    </row>
    <row r="178">
      <c r="J178" s="110"/>
      <c r="K178" s="111"/>
    </row>
    <row r="179">
      <c r="J179" s="110"/>
      <c r="K179" s="111"/>
    </row>
    <row r="180">
      <c r="J180" s="110"/>
      <c r="K180" s="111"/>
    </row>
    <row r="181">
      <c r="J181" s="110"/>
      <c r="K181" s="111"/>
    </row>
    <row r="182">
      <c r="J182" s="110"/>
      <c r="K182" s="111"/>
    </row>
    <row r="183">
      <c r="J183" s="110"/>
      <c r="K183" s="111"/>
    </row>
    <row r="184">
      <c r="J184" s="110"/>
      <c r="K184" s="111"/>
    </row>
    <row r="185">
      <c r="J185" s="110"/>
      <c r="K185" s="111"/>
    </row>
    <row r="186">
      <c r="J186" s="110"/>
      <c r="K186" s="111"/>
    </row>
    <row r="187">
      <c r="J187" s="110"/>
      <c r="K187" s="111"/>
    </row>
    <row r="188">
      <c r="J188" s="110"/>
      <c r="K188" s="111"/>
    </row>
    <row r="189">
      <c r="J189" s="110"/>
      <c r="K189" s="111"/>
    </row>
    <row r="190">
      <c r="J190" s="110"/>
      <c r="K190" s="111"/>
    </row>
    <row r="191">
      <c r="J191" s="110"/>
      <c r="K191" s="111"/>
    </row>
    <row r="192">
      <c r="J192" s="110"/>
      <c r="K192" s="111"/>
    </row>
    <row r="193">
      <c r="J193" s="110"/>
      <c r="K193" s="111"/>
    </row>
    <row r="194">
      <c r="J194" s="110"/>
      <c r="K194" s="111"/>
    </row>
    <row r="195">
      <c r="J195" s="110"/>
      <c r="K195" s="111"/>
    </row>
    <row r="196">
      <c r="J196" s="110"/>
      <c r="K196" s="111"/>
    </row>
    <row r="197">
      <c r="J197" s="110"/>
      <c r="K197" s="111"/>
    </row>
    <row r="198">
      <c r="J198" s="110"/>
      <c r="K198" s="111"/>
    </row>
    <row r="199">
      <c r="J199" s="110"/>
      <c r="K199" s="111"/>
    </row>
    <row r="200">
      <c r="J200" s="110"/>
      <c r="K200" s="111"/>
    </row>
    <row r="201">
      <c r="J201" s="110"/>
      <c r="K201" s="111"/>
    </row>
    <row r="202">
      <c r="J202" s="110"/>
      <c r="K202" s="111"/>
    </row>
    <row r="203">
      <c r="J203" s="110"/>
      <c r="K203" s="111"/>
    </row>
    <row r="204">
      <c r="J204" s="110"/>
      <c r="K204" s="111"/>
    </row>
    <row r="205">
      <c r="J205" s="110"/>
      <c r="K205" s="111"/>
    </row>
    <row r="206">
      <c r="J206" s="110"/>
      <c r="K206" s="111"/>
    </row>
    <row r="207">
      <c r="J207" s="110"/>
      <c r="K207" s="111"/>
    </row>
    <row r="208">
      <c r="J208" s="110"/>
      <c r="K208" s="111"/>
    </row>
    <row r="209">
      <c r="J209" s="110"/>
      <c r="K209" s="111"/>
    </row>
    <row r="210">
      <c r="J210" s="110"/>
      <c r="K210" s="111"/>
    </row>
    <row r="211">
      <c r="J211" s="110"/>
      <c r="K211" s="111"/>
    </row>
    <row r="212">
      <c r="J212" s="110"/>
      <c r="K212" s="111"/>
    </row>
    <row r="213">
      <c r="J213" s="110"/>
      <c r="K213" s="111"/>
    </row>
    <row r="214">
      <c r="J214" s="110"/>
      <c r="K214" s="111"/>
    </row>
    <row r="215">
      <c r="J215" s="110"/>
      <c r="K215" s="111"/>
    </row>
    <row r="216">
      <c r="J216" s="110"/>
      <c r="K216" s="111"/>
    </row>
    <row r="217">
      <c r="J217" s="110"/>
      <c r="K217" s="111"/>
    </row>
    <row r="218">
      <c r="J218" s="110"/>
      <c r="K218" s="111"/>
    </row>
    <row r="219">
      <c r="J219" s="110"/>
      <c r="K219" s="111"/>
    </row>
    <row r="220">
      <c r="J220" s="110"/>
      <c r="K220" s="111"/>
    </row>
    <row r="221">
      <c r="J221" s="110"/>
      <c r="K221" s="111"/>
    </row>
    <row r="222">
      <c r="J222" s="110"/>
      <c r="K222" s="111"/>
    </row>
    <row r="223">
      <c r="J223" s="110"/>
      <c r="K223" s="111"/>
    </row>
    <row r="224">
      <c r="J224" s="110"/>
      <c r="K224" s="111"/>
    </row>
    <row r="225">
      <c r="J225" s="110"/>
      <c r="K225" s="111"/>
    </row>
    <row r="226">
      <c r="J226" s="110"/>
      <c r="K226" s="111"/>
    </row>
    <row r="227">
      <c r="J227" s="110"/>
      <c r="K227" s="111"/>
    </row>
    <row r="228">
      <c r="J228" s="110"/>
      <c r="K228" s="111"/>
    </row>
    <row r="229">
      <c r="J229" s="110"/>
      <c r="K229" s="111"/>
    </row>
    <row r="230">
      <c r="J230" s="110"/>
      <c r="K230" s="111"/>
    </row>
    <row r="231">
      <c r="J231" s="110"/>
      <c r="K231" s="111"/>
    </row>
    <row r="232">
      <c r="J232" s="110"/>
      <c r="K232" s="111"/>
    </row>
    <row r="233">
      <c r="J233" s="110"/>
      <c r="K233" s="111"/>
    </row>
    <row r="234">
      <c r="J234" s="110"/>
      <c r="K234" s="111"/>
    </row>
    <row r="235">
      <c r="J235" s="110"/>
      <c r="K235" s="111"/>
    </row>
    <row r="236">
      <c r="J236" s="110"/>
      <c r="K236" s="111"/>
    </row>
    <row r="237">
      <c r="J237" s="110"/>
      <c r="K237" s="111"/>
    </row>
    <row r="238">
      <c r="J238" s="110"/>
      <c r="K238" s="111"/>
    </row>
    <row r="239">
      <c r="J239" s="110"/>
      <c r="K239" s="111"/>
    </row>
    <row r="240">
      <c r="J240" s="110"/>
      <c r="K240" s="111"/>
    </row>
    <row r="241">
      <c r="J241" s="110"/>
      <c r="K241" s="111"/>
    </row>
    <row r="242">
      <c r="J242" s="110"/>
      <c r="K242" s="111"/>
    </row>
    <row r="243">
      <c r="J243" s="110"/>
      <c r="K243" s="111"/>
    </row>
    <row r="244">
      <c r="J244" s="110"/>
      <c r="K244" s="111"/>
    </row>
    <row r="245">
      <c r="J245" s="110"/>
      <c r="K245" s="111"/>
    </row>
    <row r="246">
      <c r="J246" s="110"/>
      <c r="K246" s="111"/>
    </row>
    <row r="247">
      <c r="J247" s="110"/>
      <c r="K247" s="111"/>
    </row>
    <row r="248">
      <c r="J248" s="110"/>
      <c r="K248" s="111"/>
    </row>
    <row r="249">
      <c r="J249" s="110"/>
      <c r="K249" s="111"/>
    </row>
    <row r="250">
      <c r="J250" s="110"/>
      <c r="K250" s="111"/>
    </row>
    <row r="251">
      <c r="J251" s="110"/>
      <c r="K251" s="111"/>
    </row>
    <row r="252">
      <c r="J252" s="110"/>
      <c r="K252" s="111"/>
    </row>
    <row r="253">
      <c r="J253" s="110"/>
      <c r="K253" s="111"/>
    </row>
    <row r="254">
      <c r="J254" s="110"/>
      <c r="K254" s="111"/>
    </row>
    <row r="255">
      <c r="J255" s="110"/>
      <c r="K255" s="111"/>
    </row>
    <row r="256">
      <c r="J256" s="110"/>
      <c r="K256" s="111"/>
    </row>
    <row r="257">
      <c r="J257" s="110"/>
      <c r="K257" s="111"/>
    </row>
    <row r="258">
      <c r="J258" s="110"/>
      <c r="K258" s="111"/>
    </row>
    <row r="259">
      <c r="J259" s="110"/>
      <c r="K259" s="111"/>
    </row>
    <row r="260">
      <c r="J260" s="110"/>
      <c r="K260" s="111"/>
    </row>
    <row r="261">
      <c r="J261" s="110"/>
      <c r="K261" s="111"/>
    </row>
    <row r="262">
      <c r="J262" s="110"/>
      <c r="K262" s="111"/>
    </row>
    <row r="263">
      <c r="J263" s="110"/>
      <c r="K263" s="111"/>
    </row>
    <row r="264">
      <c r="J264" s="110"/>
      <c r="K264" s="111"/>
    </row>
    <row r="265">
      <c r="J265" s="110"/>
      <c r="K265" s="111"/>
    </row>
    <row r="266">
      <c r="J266" s="110"/>
      <c r="K266" s="111"/>
    </row>
    <row r="267">
      <c r="J267" s="110"/>
      <c r="K267" s="111"/>
    </row>
    <row r="268">
      <c r="J268" s="110"/>
      <c r="K268" s="111"/>
    </row>
    <row r="269">
      <c r="J269" s="110"/>
      <c r="K269" s="111"/>
    </row>
    <row r="270">
      <c r="J270" s="110"/>
      <c r="K270" s="111"/>
    </row>
    <row r="271">
      <c r="J271" s="110"/>
      <c r="K271" s="111"/>
    </row>
    <row r="272">
      <c r="J272" s="110"/>
      <c r="K272" s="111"/>
    </row>
    <row r="273">
      <c r="J273" s="110"/>
      <c r="K273" s="111"/>
    </row>
    <row r="274">
      <c r="J274" s="110"/>
      <c r="K274" s="111"/>
    </row>
    <row r="275">
      <c r="J275" s="110"/>
      <c r="K275" s="111"/>
    </row>
    <row r="276">
      <c r="J276" s="110"/>
      <c r="K276" s="111"/>
    </row>
    <row r="277">
      <c r="J277" s="110"/>
      <c r="K277" s="111"/>
    </row>
    <row r="278">
      <c r="J278" s="110"/>
      <c r="K278" s="111"/>
    </row>
    <row r="279">
      <c r="J279" s="110"/>
      <c r="K279" s="111"/>
    </row>
    <row r="280">
      <c r="J280" s="110"/>
      <c r="K280" s="111"/>
    </row>
    <row r="281">
      <c r="J281" s="110"/>
      <c r="K281" s="111"/>
    </row>
    <row r="282">
      <c r="J282" s="110"/>
      <c r="K282" s="111"/>
    </row>
    <row r="283">
      <c r="J283" s="110"/>
      <c r="K283" s="111"/>
    </row>
    <row r="284">
      <c r="J284" s="110"/>
      <c r="K284" s="111"/>
    </row>
    <row r="285">
      <c r="J285" s="110"/>
      <c r="K285" s="111"/>
    </row>
    <row r="286">
      <c r="J286" s="110"/>
      <c r="K286" s="111"/>
    </row>
    <row r="287">
      <c r="J287" s="110"/>
      <c r="K287" s="111"/>
    </row>
    <row r="288">
      <c r="J288" s="110"/>
      <c r="K288" s="111"/>
    </row>
    <row r="289">
      <c r="J289" s="110"/>
      <c r="K289" s="111"/>
    </row>
    <row r="290">
      <c r="J290" s="110"/>
      <c r="K290" s="111"/>
    </row>
    <row r="291">
      <c r="J291" s="110"/>
      <c r="K291" s="111"/>
    </row>
    <row r="292">
      <c r="J292" s="110"/>
      <c r="K292" s="111"/>
    </row>
    <row r="293">
      <c r="J293" s="110"/>
      <c r="K293" s="111"/>
    </row>
    <row r="294">
      <c r="J294" s="110"/>
      <c r="K294" s="111"/>
    </row>
    <row r="295">
      <c r="J295" s="110"/>
      <c r="K295" s="111"/>
    </row>
    <row r="296">
      <c r="J296" s="110"/>
      <c r="K296" s="111"/>
    </row>
    <row r="297">
      <c r="J297" s="110"/>
      <c r="K297" s="111"/>
    </row>
    <row r="298">
      <c r="J298" s="110"/>
      <c r="K298" s="111"/>
    </row>
    <row r="299">
      <c r="J299" s="110"/>
      <c r="K299" s="111"/>
    </row>
    <row r="300">
      <c r="J300" s="110"/>
      <c r="K300" s="111"/>
    </row>
    <row r="301">
      <c r="J301" s="110"/>
      <c r="K301" s="111"/>
    </row>
    <row r="302">
      <c r="J302" s="110"/>
      <c r="K302" s="111"/>
    </row>
    <row r="303">
      <c r="J303" s="110"/>
      <c r="K303" s="111"/>
    </row>
    <row r="304">
      <c r="J304" s="110"/>
      <c r="K304" s="111"/>
    </row>
    <row r="305">
      <c r="J305" s="110"/>
      <c r="K305" s="111"/>
    </row>
    <row r="306">
      <c r="J306" s="110"/>
      <c r="K306" s="111"/>
    </row>
    <row r="307">
      <c r="J307" s="110"/>
      <c r="K307" s="111"/>
    </row>
    <row r="308">
      <c r="J308" s="110"/>
      <c r="K308" s="111"/>
    </row>
    <row r="309">
      <c r="J309" s="110"/>
      <c r="K309" s="111"/>
    </row>
    <row r="310">
      <c r="J310" s="110"/>
      <c r="K310" s="111"/>
    </row>
    <row r="311">
      <c r="J311" s="110"/>
      <c r="K311" s="111"/>
    </row>
    <row r="312">
      <c r="J312" s="110"/>
      <c r="K312" s="111"/>
    </row>
    <row r="313">
      <c r="J313" s="110"/>
      <c r="K313" s="111"/>
    </row>
    <row r="314">
      <c r="J314" s="110"/>
      <c r="K314" s="111"/>
    </row>
    <row r="315">
      <c r="J315" s="110"/>
      <c r="K315" s="111"/>
    </row>
    <row r="316">
      <c r="J316" s="110"/>
      <c r="K316" s="111"/>
    </row>
    <row r="317">
      <c r="J317" s="110"/>
      <c r="K317" s="111"/>
    </row>
    <row r="318">
      <c r="J318" s="110"/>
      <c r="K318" s="111"/>
    </row>
    <row r="319">
      <c r="J319" s="110"/>
      <c r="K319" s="111"/>
    </row>
    <row r="320">
      <c r="J320" s="110"/>
      <c r="K320" s="111"/>
    </row>
    <row r="321">
      <c r="J321" s="110"/>
      <c r="K321" s="111"/>
    </row>
    <row r="322">
      <c r="J322" s="110"/>
      <c r="K322" s="111"/>
    </row>
    <row r="323">
      <c r="J323" s="110"/>
      <c r="K323" s="111"/>
    </row>
    <row r="324">
      <c r="J324" s="110"/>
      <c r="K324" s="111"/>
    </row>
    <row r="325">
      <c r="J325" s="110"/>
      <c r="K325" s="111"/>
    </row>
    <row r="326">
      <c r="J326" s="110"/>
      <c r="K326" s="111"/>
    </row>
    <row r="327">
      <c r="J327" s="110"/>
      <c r="K327" s="111"/>
    </row>
    <row r="328">
      <c r="J328" s="110"/>
      <c r="K328" s="111"/>
    </row>
    <row r="329">
      <c r="J329" s="110"/>
      <c r="K329" s="111"/>
    </row>
    <row r="330">
      <c r="J330" s="110"/>
      <c r="K330" s="111"/>
    </row>
    <row r="331">
      <c r="J331" s="110"/>
      <c r="K331" s="111"/>
    </row>
    <row r="332">
      <c r="J332" s="110"/>
      <c r="K332" s="111"/>
    </row>
    <row r="333">
      <c r="J333" s="110"/>
      <c r="K333" s="111"/>
    </row>
    <row r="334">
      <c r="J334" s="110"/>
      <c r="K334" s="111"/>
    </row>
    <row r="335">
      <c r="J335" s="110"/>
      <c r="K335" s="111"/>
    </row>
    <row r="336">
      <c r="J336" s="110"/>
      <c r="K336" s="111"/>
    </row>
    <row r="337">
      <c r="J337" s="110"/>
      <c r="K337" s="111"/>
    </row>
    <row r="338">
      <c r="J338" s="110"/>
      <c r="K338" s="111"/>
    </row>
    <row r="339">
      <c r="J339" s="110"/>
      <c r="K339" s="111"/>
    </row>
    <row r="340">
      <c r="J340" s="110"/>
      <c r="K340" s="111"/>
    </row>
    <row r="341">
      <c r="J341" s="110"/>
      <c r="K341" s="111"/>
    </row>
    <row r="342">
      <c r="J342" s="110"/>
      <c r="K342" s="111"/>
    </row>
    <row r="343">
      <c r="J343" s="110"/>
      <c r="K343" s="111"/>
    </row>
    <row r="344">
      <c r="J344" s="110"/>
      <c r="K344" s="111"/>
    </row>
    <row r="345">
      <c r="J345" s="110"/>
      <c r="K345" s="111"/>
    </row>
    <row r="346">
      <c r="J346" s="110"/>
      <c r="K346" s="111"/>
    </row>
    <row r="347">
      <c r="J347" s="110"/>
      <c r="K347" s="111"/>
    </row>
    <row r="348">
      <c r="J348" s="110"/>
      <c r="K348" s="111"/>
    </row>
    <row r="349">
      <c r="J349" s="110"/>
      <c r="K349" s="111"/>
    </row>
    <row r="350">
      <c r="J350" s="110"/>
      <c r="K350" s="111"/>
    </row>
    <row r="351">
      <c r="J351" s="110"/>
      <c r="K351" s="111"/>
    </row>
    <row r="352">
      <c r="J352" s="110"/>
      <c r="K352" s="111"/>
    </row>
    <row r="353">
      <c r="J353" s="110"/>
      <c r="K353" s="111"/>
    </row>
    <row r="354">
      <c r="J354" s="110"/>
      <c r="K354" s="111"/>
    </row>
    <row r="355">
      <c r="J355" s="110"/>
      <c r="K355" s="111"/>
    </row>
    <row r="356">
      <c r="J356" s="110"/>
      <c r="K356" s="111"/>
    </row>
    <row r="357">
      <c r="J357" s="110"/>
      <c r="K357" s="111"/>
    </row>
    <row r="358">
      <c r="J358" s="110"/>
      <c r="K358" s="111"/>
    </row>
    <row r="359">
      <c r="J359" s="110"/>
      <c r="K359" s="111"/>
    </row>
    <row r="360">
      <c r="J360" s="110"/>
      <c r="K360" s="111"/>
    </row>
    <row r="361">
      <c r="J361" s="110"/>
      <c r="K361" s="111"/>
    </row>
    <row r="362">
      <c r="J362" s="110"/>
      <c r="K362" s="111"/>
    </row>
    <row r="363">
      <c r="J363" s="110"/>
      <c r="K363" s="111"/>
    </row>
    <row r="364">
      <c r="J364" s="110"/>
      <c r="K364" s="111"/>
    </row>
    <row r="365">
      <c r="J365" s="110"/>
      <c r="K365" s="111"/>
    </row>
    <row r="366">
      <c r="J366" s="110"/>
      <c r="K366" s="111"/>
    </row>
    <row r="367">
      <c r="J367" s="110"/>
      <c r="K367" s="111"/>
    </row>
    <row r="368">
      <c r="J368" s="110"/>
      <c r="K368" s="111"/>
    </row>
    <row r="369">
      <c r="J369" s="110"/>
      <c r="K369" s="111"/>
    </row>
    <row r="370">
      <c r="J370" s="110"/>
      <c r="K370" s="111"/>
    </row>
    <row r="371">
      <c r="J371" s="110"/>
      <c r="K371" s="111"/>
    </row>
    <row r="372">
      <c r="J372" s="110"/>
      <c r="K372" s="111"/>
    </row>
    <row r="373">
      <c r="J373" s="110"/>
      <c r="K373" s="111"/>
    </row>
    <row r="374">
      <c r="J374" s="110"/>
      <c r="K374" s="111"/>
    </row>
    <row r="375">
      <c r="J375" s="110"/>
      <c r="K375" s="111"/>
    </row>
    <row r="376">
      <c r="J376" s="110"/>
      <c r="K376" s="111"/>
    </row>
    <row r="377">
      <c r="J377" s="110"/>
      <c r="K377" s="111"/>
    </row>
    <row r="378">
      <c r="J378" s="110"/>
      <c r="K378" s="111"/>
    </row>
    <row r="379">
      <c r="J379" s="110"/>
      <c r="K379" s="111"/>
    </row>
    <row r="380">
      <c r="J380" s="110"/>
      <c r="K380" s="111"/>
    </row>
    <row r="381">
      <c r="J381" s="110"/>
      <c r="K381" s="111"/>
    </row>
    <row r="382">
      <c r="J382" s="110"/>
      <c r="K382" s="111"/>
    </row>
    <row r="383">
      <c r="J383" s="110"/>
      <c r="K383" s="111"/>
    </row>
    <row r="384">
      <c r="J384" s="110"/>
      <c r="K384" s="111"/>
    </row>
    <row r="385">
      <c r="J385" s="110"/>
      <c r="K385" s="111"/>
    </row>
    <row r="386">
      <c r="J386" s="110"/>
      <c r="K386" s="111"/>
    </row>
    <row r="387">
      <c r="J387" s="110"/>
      <c r="K387" s="111"/>
    </row>
    <row r="388">
      <c r="J388" s="110"/>
      <c r="K388" s="111"/>
    </row>
    <row r="389">
      <c r="J389" s="110"/>
      <c r="K389" s="111"/>
    </row>
    <row r="390">
      <c r="J390" s="110"/>
      <c r="K390" s="111"/>
    </row>
    <row r="391">
      <c r="J391" s="110"/>
      <c r="K391" s="111"/>
    </row>
    <row r="392">
      <c r="J392" s="110"/>
      <c r="K392" s="111"/>
    </row>
    <row r="393">
      <c r="J393" s="110"/>
      <c r="K393" s="111"/>
    </row>
    <row r="394">
      <c r="J394" s="110"/>
      <c r="K394" s="111"/>
    </row>
    <row r="395">
      <c r="J395" s="110"/>
      <c r="K395" s="111"/>
    </row>
    <row r="396">
      <c r="J396" s="110"/>
      <c r="K396" s="111"/>
    </row>
    <row r="397">
      <c r="J397" s="110"/>
      <c r="K397" s="111"/>
    </row>
    <row r="398">
      <c r="J398" s="110"/>
      <c r="K398" s="111"/>
    </row>
    <row r="399">
      <c r="J399" s="110"/>
      <c r="K399" s="111"/>
    </row>
    <row r="400">
      <c r="J400" s="110"/>
      <c r="K400" s="111"/>
    </row>
    <row r="401">
      <c r="J401" s="110"/>
      <c r="K401" s="111"/>
    </row>
    <row r="402">
      <c r="J402" s="110"/>
      <c r="K402" s="111"/>
    </row>
    <row r="403">
      <c r="J403" s="110"/>
      <c r="K403" s="111"/>
    </row>
    <row r="404">
      <c r="J404" s="110"/>
      <c r="K404" s="111"/>
    </row>
    <row r="405">
      <c r="J405" s="110"/>
      <c r="K405" s="111"/>
    </row>
    <row r="406">
      <c r="J406" s="110"/>
      <c r="K406" s="111"/>
    </row>
    <row r="407">
      <c r="J407" s="110"/>
      <c r="K407" s="111"/>
    </row>
    <row r="408">
      <c r="J408" s="110"/>
      <c r="K408" s="111"/>
    </row>
    <row r="409">
      <c r="J409" s="110"/>
      <c r="K409" s="111"/>
    </row>
    <row r="410">
      <c r="J410" s="110"/>
      <c r="K410" s="111"/>
    </row>
    <row r="411">
      <c r="J411" s="110"/>
      <c r="K411" s="111"/>
    </row>
    <row r="412">
      <c r="J412" s="110"/>
      <c r="K412" s="111"/>
    </row>
    <row r="413">
      <c r="J413" s="110"/>
      <c r="K413" s="111"/>
    </row>
    <row r="414">
      <c r="J414" s="110"/>
      <c r="K414" s="111"/>
    </row>
    <row r="415">
      <c r="J415" s="110"/>
      <c r="K415" s="111"/>
    </row>
    <row r="416">
      <c r="J416" s="110"/>
      <c r="K416" s="111"/>
    </row>
    <row r="417">
      <c r="J417" s="110"/>
      <c r="K417" s="111"/>
    </row>
    <row r="418">
      <c r="J418" s="110"/>
      <c r="K418" s="111"/>
    </row>
    <row r="419">
      <c r="J419" s="110"/>
      <c r="K419" s="111"/>
    </row>
    <row r="420">
      <c r="J420" s="110"/>
      <c r="K420" s="111"/>
    </row>
    <row r="421">
      <c r="J421" s="110"/>
      <c r="K421" s="111"/>
    </row>
    <row r="422">
      <c r="J422" s="110"/>
      <c r="K422" s="111"/>
    </row>
    <row r="423">
      <c r="J423" s="110"/>
      <c r="K423" s="111"/>
    </row>
    <row r="424">
      <c r="J424" s="110"/>
      <c r="K424" s="111"/>
    </row>
    <row r="425">
      <c r="J425" s="110"/>
      <c r="K425" s="111"/>
    </row>
    <row r="426">
      <c r="J426" s="110"/>
      <c r="K426" s="111"/>
    </row>
    <row r="427">
      <c r="J427" s="110"/>
      <c r="K427" s="111"/>
    </row>
    <row r="428">
      <c r="J428" s="110"/>
      <c r="K428" s="111"/>
    </row>
    <row r="429">
      <c r="J429" s="110"/>
      <c r="K429" s="111"/>
    </row>
    <row r="430">
      <c r="J430" s="110"/>
      <c r="K430" s="111"/>
    </row>
    <row r="431">
      <c r="J431" s="110"/>
      <c r="K431" s="111"/>
    </row>
    <row r="432">
      <c r="J432" s="110"/>
      <c r="K432" s="111"/>
    </row>
    <row r="433">
      <c r="J433" s="110"/>
      <c r="K433" s="111"/>
    </row>
    <row r="434">
      <c r="J434" s="110"/>
      <c r="K434" s="111"/>
    </row>
    <row r="435">
      <c r="J435" s="110"/>
      <c r="K435" s="111"/>
    </row>
    <row r="436">
      <c r="J436" s="110"/>
      <c r="K436" s="111"/>
    </row>
    <row r="437">
      <c r="J437" s="110"/>
      <c r="K437" s="111"/>
    </row>
    <row r="438">
      <c r="J438" s="110"/>
      <c r="K438" s="111"/>
    </row>
    <row r="439">
      <c r="J439" s="110"/>
      <c r="K439" s="111"/>
    </row>
    <row r="440">
      <c r="J440" s="110"/>
      <c r="K440" s="111"/>
    </row>
    <row r="441">
      <c r="J441" s="110"/>
      <c r="K441" s="111"/>
    </row>
    <row r="442">
      <c r="J442" s="110"/>
      <c r="K442" s="111"/>
    </row>
    <row r="443">
      <c r="J443" s="110"/>
      <c r="K443" s="111"/>
    </row>
    <row r="444">
      <c r="J444" s="110"/>
      <c r="K444" s="111"/>
    </row>
    <row r="445">
      <c r="J445" s="110"/>
      <c r="K445" s="111"/>
    </row>
    <row r="446">
      <c r="J446" s="110"/>
      <c r="K446" s="111"/>
    </row>
    <row r="447">
      <c r="J447" s="110"/>
      <c r="K447" s="111"/>
    </row>
    <row r="448">
      <c r="J448" s="110"/>
      <c r="K448" s="111"/>
    </row>
    <row r="449">
      <c r="J449" s="110"/>
      <c r="K449" s="111"/>
    </row>
    <row r="450">
      <c r="J450" s="110"/>
      <c r="K450" s="111"/>
    </row>
    <row r="451">
      <c r="J451" s="110"/>
      <c r="K451" s="111"/>
    </row>
    <row r="452">
      <c r="J452" s="110"/>
      <c r="K452" s="111"/>
    </row>
    <row r="453">
      <c r="J453" s="110"/>
      <c r="K453" s="111"/>
    </row>
    <row r="454">
      <c r="J454" s="110"/>
      <c r="K454" s="111"/>
    </row>
    <row r="455">
      <c r="J455" s="110"/>
      <c r="K455" s="111"/>
    </row>
    <row r="456">
      <c r="J456" s="110"/>
      <c r="K456" s="111"/>
    </row>
    <row r="457">
      <c r="J457" s="110"/>
      <c r="K457" s="111"/>
    </row>
    <row r="458">
      <c r="J458" s="110"/>
      <c r="K458" s="111"/>
    </row>
    <row r="459">
      <c r="J459" s="110"/>
      <c r="K459" s="111"/>
    </row>
    <row r="460">
      <c r="J460" s="110"/>
      <c r="K460" s="111"/>
    </row>
    <row r="461">
      <c r="J461" s="110"/>
      <c r="K461" s="111"/>
    </row>
    <row r="462">
      <c r="J462" s="110"/>
      <c r="K462" s="111"/>
    </row>
    <row r="463">
      <c r="J463" s="110"/>
      <c r="K463" s="111"/>
    </row>
    <row r="464">
      <c r="J464" s="110"/>
      <c r="K464" s="111"/>
    </row>
    <row r="465">
      <c r="J465" s="110"/>
      <c r="K465" s="111"/>
    </row>
    <row r="466">
      <c r="J466" s="110"/>
      <c r="K466" s="111"/>
    </row>
    <row r="467">
      <c r="J467" s="110"/>
      <c r="K467" s="111"/>
    </row>
    <row r="468">
      <c r="J468" s="110"/>
      <c r="K468" s="111"/>
    </row>
    <row r="469">
      <c r="J469" s="110"/>
      <c r="K469" s="111"/>
    </row>
    <row r="470">
      <c r="J470" s="110"/>
      <c r="K470" s="111"/>
    </row>
    <row r="471">
      <c r="J471" s="110"/>
      <c r="K471" s="111"/>
    </row>
    <row r="472">
      <c r="J472" s="110"/>
      <c r="K472" s="111"/>
    </row>
    <row r="473">
      <c r="J473" s="110"/>
      <c r="K473" s="111"/>
    </row>
    <row r="474">
      <c r="J474" s="110"/>
      <c r="K474" s="111"/>
    </row>
    <row r="475">
      <c r="J475" s="110"/>
      <c r="K475" s="111"/>
    </row>
    <row r="476">
      <c r="J476" s="110"/>
      <c r="K476" s="111"/>
    </row>
    <row r="477">
      <c r="J477" s="110"/>
      <c r="K477" s="111"/>
    </row>
    <row r="478">
      <c r="J478" s="110"/>
      <c r="K478" s="111"/>
    </row>
    <row r="479">
      <c r="J479" s="110"/>
      <c r="K479" s="111"/>
    </row>
    <row r="480">
      <c r="J480" s="110"/>
      <c r="K480" s="111"/>
    </row>
    <row r="481">
      <c r="J481" s="110"/>
      <c r="K481" s="111"/>
    </row>
    <row r="482">
      <c r="J482" s="110"/>
      <c r="K482" s="111"/>
    </row>
    <row r="483">
      <c r="J483" s="110"/>
      <c r="K483" s="111"/>
    </row>
    <row r="484">
      <c r="J484" s="110"/>
      <c r="K484" s="111"/>
    </row>
    <row r="485">
      <c r="J485" s="110"/>
      <c r="K485" s="111"/>
    </row>
    <row r="486">
      <c r="J486" s="110"/>
      <c r="K486" s="111"/>
    </row>
    <row r="487">
      <c r="J487" s="110"/>
      <c r="K487" s="111"/>
    </row>
    <row r="488">
      <c r="J488" s="110"/>
      <c r="K488" s="111"/>
    </row>
    <row r="489">
      <c r="J489" s="110"/>
      <c r="K489" s="111"/>
    </row>
    <row r="490">
      <c r="J490" s="110"/>
      <c r="K490" s="111"/>
    </row>
    <row r="491">
      <c r="J491" s="110"/>
      <c r="K491" s="111"/>
    </row>
    <row r="492">
      <c r="J492" s="110"/>
      <c r="K492" s="111"/>
    </row>
    <row r="493">
      <c r="J493" s="110"/>
      <c r="K493" s="111"/>
    </row>
    <row r="494">
      <c r="J494" s="110"/>
      <c r="K494" s="111"/>
    </row>
    <row r="495">
      <c r="J495" s="110"/>
      <c r="K495" s="111"/>
    </row>
    <row r="496">
      <c r="J496" s="110"/>
      <c r="K496" s="111"/>
    </row>
    <row r="497">
      <c r="J497" s="110"/>
      <c r="K497" s="111"/>
    </row>
    <row r="498">
      <c r="J498" s="110"/>
      <c r="K498" s="111"/>
    </row>
    <row r="499">
      <c r="J499" s="110"/>
      <c r="K499" s="111"/>
    </row>
    <row r="500">
      <c r="J500" s="110"/>
      <c r="K500" s="111"/>
    </row>
    <row r="501">
      <c r="J501" s="110"/>
      <c r="K501" s="111"/>
    </row>
    <row r="502">
      <c r="J502" s="110"/>
      <c r="K502" s="111"/>
    </row>
    <row r="503">
      <c r="J503" s="110"/>
      <c r="K503" s="111"/>
    </row>
    <row r="504">
      <c r="J504" s="110"/>
      <c r="K504" s="111"/>
    </row>
    <row r="505">
      <c r="J505" s="110"/>
      <c r="K505" s="111"/>
    </row>
    <row r="506">
      <c r="J506" s="110"/>
      <c r="K506" s="111"/>
    </row>
    <row r="507">
      <c r="J507" s="110"/>
      <c r="K507" s="111"/>
    </row>
    <row r="508">
      <c r="J508" s="110"/>
      <c r="K508" s="111"/>
    </row>
    <row r="509">
      <c r="J509" s="110"/>
      <c r="K509" s="111"/>
    </row>
    <row r="510">
      <c r="J510" s="110"/>
      <c r="K510" s="111"/>
    </row>
    <row r="511">
      <c r="J511" s="110"/>
      <c r="K511" s="111"/>
    </row>
    <row r="512">
      <c r="J512" s="110"/>
      <c r="K512" s="111"/>
    </row>
    <row r="513">
      <c r="J513" s="110"/>
      <c r="K513" s="111"/>
    </row>
    <row r="514">
      <c r="J514" s="110"/>
      <c r="K514" s="111"/>
    </row>
    <row r="515">
      <c r="J515" s="110"/>
      <c r="K515" s="111"/>
    </row>
    <row r="516">
      <c r="J516" s="110"/>
      <c r="K516" s="111"/>
    </row>
    <row r="517">
      <c r="J517" s="110"/>
      <c r="K517" s="111"/>
    </row>
    <row r="518">
      <c r="J518" s="110"/>
      <c r="K518" s="111"/>
    </row>
    <row r="519">
      <c r="J519" s="110"/>
      <c r="K519" s="111"/>
    </row>
    <row r="520">
      <c r="J520" s="110"/>
      <c r="K520" s="111"/>
    </row>
    <row r="521">
      <c r="J521" s="110"/>
      <c r="K521" s="111"/>
    </row>
    <row r="522">
      <c r="J522" s="110"/>
      <c r="K522" s="111"/>
    </row>
    <row r="523">
      <c r="J523" s="110"/>
      <c r="K523" s="111"/>
    </row>
    <row r="524">
      <c r="J524" s="110"/>
      <c r="K524" s="111"/>
    </row>
    <row r="525">
      <c r="J525" s="110"/>
      <c r="K525" s="111"/>
    </row>
    <row r="526">
      <c r="J526" s="110"/>
      <c r="K526" s="111"/>
    </row>
    <row r="527">
      <c r="J527" s="110"/>
      <c r="K527" s="111"/>
    </row>
    <row r="528">
      <c r="J528" s="110"/>
      <c r="K528" s="111"/>
    </row>
    <row r="529">
      <c r="J529" s="110"/>
      <c r="K529" s="111"/>
    </row>
    <row r="530">
      <c r="J530" s="110"/>
      <c r="K530" s="111"/>
    </row>
    <row r="531">
      <c r="J531" s="110"/>
      <c r="K531" s="111"/>
    </row>
    <row r="532">
      <c r="J532" s="110"/>
      <c r="K532" s="111"/>
    </row>
    <row r="533">
      <c r="J533" s="110"/>
      <c r="K533" s="111"/>
    </row>
    <row r="534">
      <c r="J534" s="110"/>
      <c r="K534" s="111"/>
    </row>
    <row r="535">
      <c r="J535" s="110"/>
      <c r="K535" s="111"/>
    </row>
    <row r="536">
      <c r="J536" s="110"/>
      <c r="K536" s="111"/>
    </row>
    <row r="537">
      <c r="J537" s="110"/>
      <c r="K537" s="111"/>
    </row>
    <row r="538">
      <c r="J538" s="110"/>
      <c r="K538" s="111"/>
    </row>
    <row r="539">
      <c r="J539" s="110"/>
      <c r="K539" s="111"/>
    </row>
    <row r="540">
      <c r="J540" s="110"/>
      <c r="K540" s="111"/>
    </row>
    <row r="541">
      <c r="J541" s="110"/>
      <c r="K541" s="111"/>
    </row>
    <row r="542">
      <c r="J542" s="110"/>
      <c r="K542" s="111"/>
    </row>
    <row r="543">
      <c r="J543" s="110"/>
      <c r="K543" s="111"/>
    </row>
    <row r="544">
      <c r="J544" s="110"/>
      <c r="K544" s="111"/>
    </row>
    <row r="545">
      <c r="J545" s="110"/>
      <c r="K545" s="111"/>
    </row>
    <row r="546">
      <c r="J546" s="110"/>
      <c r="K546" s="111"/>
    </row>
    <row r="547">
      <c r="J547" s="110"/>
      <c r="K547" s="111"/>
    </row>
    <row r="548">
      <c r="J548" s="110"/>
      <c r="K548" s="111"/>
    </row>
    <row r="549">
      <c r="J549" s="110"/>
      <c r="K549" s="111"/>
    </row>
    <row r="550">
      <c r="J550" s="110"/>
      <c r="K550" s="111"/>
    </row>
    <row r="551">
      <c r="J551" s="110"/>
      <c r="K551" s="111"/>
    </row>
    <row r="552">
      <c r="J552" s="110"/>
      <c r="K552" s="111"/>
    </row>
    <row r="553">
      <c r="J553" s="110"/>
      <c r="K553" s="111"/>
    </row>
    <row r="554">
      <c r="J554" s="110"/>
      <c r="K554" s="111"/>
    </row>
    <row r="555">
      <c r="J555" s="110"/>
      <c r="K555" s="111"/>
    </row>
    <row r="556">
      <c r="J556" s="110"/>
      <c r="K556" s="111"/>
    </row>
    <row r="557">
      <c r="J557" s="110"/>
      <c r="K557" s="111"/>
    </row>
    <row r="558">
      <c r="J558" s="110"/>
      <c r="K558" s="111"/>
    </row>
    <row r="559">
      <c r="J559" s="110"/>
      <c r="K559" s="111"/>
    </row>
    <row r="560">
      <c r="J560" s="110"/>
      <c r="K560" s="111"/>
    </row>
    <row r="561">
      <c r="J561" s="110"/>
      <c r="K561" s="111"/>
    </row>
    <row r="562">
      <c r="J562" s="110"/>
      <c r="K562" s="111"/>
    </row>
    <row r="563">
      <c r="J563" s="110"/>
      <c r="K563" s="111"/>
    </row>
    <row r="564">
      <c r="J564" s="110"/>
      <c r="K564" s="111"/>
    </row>
    <row r="565">
      <c r="J565" s="110"/>
      <c r="K565" s="111"/>
    </row>
    <row r="566">
      <c r="J566" s="110"/>
      <c r="K566" s="111"/>
    </row>
    <row r="567">
      <c r="J567" s="110"/>
      <c r="K567" s="111"/>
    </row>
    <row r="568">
      <c r="J568" s="110"/>
      <c r="K568" s="111"/>
    </row>
    <row r="569">
      <c r="J569" s="110"/>
      <c r="K569" s="111"/>
    </row>
    <row r="570">
      <c r="J570" s="110"/>
      <c r="K570" s="111"/>
    </row>
    <row r="571">
      <c r="J571" s="110"/>
      <c r="K571" s="111"/>
    </row>
    <row r="572">
      <c r="J572" s="110"/>
      <c r="K572" s="111"/>
    </row>
    <row r="573">
      <c r="J573" s="110"/>
      <c r="K573" s="111"/>
    </row>
    <row r="574">
      <c r="J574" s="110"/>
      <c r="K574" s="111"/>
    </row>
    <row r="575">
      <c r="J575" s="110"/>
      <c r="K575" s="111"/>
    </row>
    <row r="576">
      <c r="J576" s="110"/>
      <c r="K576" s="111"/>
    </row>
    <row r="577">
      <c r="J577" s="110"/>
      <c r="K577" s="111"/>
    </row>
    <row r="578">
      <c r="J578" s="110"/>
      <c r="K578" s="111"/>
    </row>
    <row r="579">
      <c r="J579" s="110"/>
      <c r="K579" s="111"/>
    </row>
    <row r="580">
      <c r="J580" s="110"/>
      <c r="K580" s="111"/>
    </row>
    <row r="581">
      <c r="J581" s="110"/>
      <c r="K581" s="111"/>
    </row>
    <row r="582">
      <c r="J582" s="110"/>
      <c r="K582" s="111"/>
    </row>
    <row r="583">
      <c r="J583" s="110"/>
      <c r="K583" s="111"/>
    </row>
    <row r="584">
      <c r="J584" s="110"/>
      <c r="K584" s="111"/>
    </row>
    <row r="585">
      <c r="J585" s="110"/>
      <c r="K585" s="111"/>
    </row>
    <row r="586">
      <c r="J586" s="110"/>
      <c r="K586" s="111"/>
    </row>
    <row r="587">
      <c r="J587" s="110"/>
      <c r="K587" s="111"/>
    </row>
    <row r="588">
      <c r="J588" s="110"/>
      <c r="K588" s="111"/>
    </row>
    <row r="589">
      <c r="J589" s="110"/>
      <c r="K589" s="111"/>
    </row>
    <row r="590">
      <c r="J590" s="110"/>
      <c r="K590" s="111"/>
    </row>
    <row r="591">
      <c r="J591" s="110"/>
      <c r="K591" s="111"/>
    </row>
    <row r="592">
      <c r="J592" s="110"/>
      <c r="K592" s="111"/>
    </row>
    <row r="593">
      <c r="J593" s="110"/>
      <c r="K593" s="111"/>
    </row>
    <row r="594">
      <c r="J594" s="110"/>
      <c r="K594" s="111"/>
    </row>
    <row r="595">
      <c r="J595" s="110"/>
      <c r="K595" s="111"/>
    </row>
    <row r="596">
      <c r="J596" s="110"/>
      <c r="K596" s="111"/>
    </row>
    <row r="597">
      <c r="J597" s="110"/>
      <c r="K597" s="111"/>
    </row>
    <row r="598">
      <c r="J598" s="110"/>
      <c r="K598" s="111"/>
    </row>
    <row r="599">
      <c r="J599" s="110"/>
      <c r="K599" s="111"/>
    </row>
    <row r="600">
      <c r="J600" s="110"/>
      <c r="K600" s="111"/>
    </row>
    <row r="601">
      <c r="J601" s="110"/>
      <c r="K601" s="111"/>
    </row>
    <row r="602">
      <c r="J602" s="110"/>
      <c r="K602" s="111"/>
    </row>
    <row r="603">
      <c r="J603" s="110"/>
      <c r="K603" s="111"/>
    </row>
    <row r="604">
      <c r="J604" s="110"/>
      <c r="K604" s="111"/>
    </row>
    <row r="605">
      <c r="J605" s="110"/>
      <c r="K605" s="111"/>
    </row>
    <row r="606">
      <c r="J606" s="110"/>
      <c r="K606" s="111"/>
    </row>
    <row r="607">
      <c r="J607" s="110"/>
      <c r="K607" s="111"/>
    </row>
    <row r="608">
      <c r="J608" s="110"/>
      <c r="K608" s="111"/>
    </row>
    <row r="609">
      <c r="J609" s="110"/>
      <c r="K609" s="111"/>
    </row>
    <row r="610">
      <c r="J610" s="110"/>
      <c r="K610" s="111"/>
    </row>
    <row r="611">
      <c r="J611" s="110"/>
      <c r="K611" s="111"/>
    </row>
    <row r="612">
      <c r="J612" s="110"/>
      <c r="K612" s="111"/>
    </row>
    <row r="613">
      <c r="J613" s="110"/>
      <c r="K613" s="111"/>
    </row>
    <row r="614">
      <c r="J614" s="110"/>
      <c r="K614" s="111"/>
    </row>
    <row r="615">
      <c r="J615" s="110"/>
      <c r="K615" s="111"/>
    </row>
    <row r="616">
      <c r="J616" s="110"/>
      <c r="K616" s="111"/>
    </row>
    <row r="617">
      <c r="J617" s="110"/>
      <c r="K617" s="111"/>
    </row>
    <row r="618">
      <c r="J618" s="110"/>
      <c r="K618" s="111"/>
    </row>
    <row r="619">
      <c r="J619" s="110"/>
      <c r="K619" s="111"/>
    </row>
    <row r="620">
      <c r="J620" s="110"/>
      <c r="K620" s="111"/>
    </row>
    <row r="621">
      <c r="J621" s="110"/>
      <c r="K621" s="111"/>
    </row>
    <row r="622">
      <c r="J622" s="110"/>
      <c r="K622" s="111"/>
    </row>
    <row r="623">
      <c r="J623" s="110"/>
      <c r="K623" s="111"/>
    </row>
    <row r="624">
      <c r="J624" s="110"/>
      <c r="K624" s="111"/>
    </row>
    <row r="625">
      <c r="J625" s="110"/>
      <c r="K625" s="111"/>
    </row>
    <row r="626">
      <c r="J626" s="110"/>
      <c r="K626" s="111"/>
    </row>
    <row r="627">
      <c r="J627" s="110"/>
      <c r="K627" s="111"/>
    </row>
    <row r="628">
      <c r="J628" s="110"/>
      <c r="K628" s="111"/>
    </row>
    <row r="629">
      <c r="J629" s="110"/>
      <c r="K629" s="111"/>
    </row>
    <row r="630">
      <c r="J630" s="110"/>
      <c r="K630" s="111"/>
    </row>
    <row r="631">
      <c r="J631" s="110"/>
      <c r="K631" s="111"/>
    </row>
    <row r="632">
      <c r="J632" s="110"/>
      <c r="K632" s="111"/>
    </row>
    <row r="633">
      <c r="J633" s="110"/>
      <c r="K633" s="111"/>
    </row>
    <row r="634">
      <c r="J634" s="110"/>
      <c r="K634" s="111"/>
    </row>
    <row r="635">
      <c r="J635" s="110"/>
      <c r="K635" s="111"/>
    </row>
    <row r="636">
      <c r="J636" s="110"/>
      <c r="K636" s="111"/>
    </row>
    <row r="637">
      <c r="J637" s="110"/>
      <c r="K637" s="111"/>
    </row>
    <row r="638">
      <c r="J638" s="110"/>
      <c r="K638" s="111"/>
    </row>
    <row r="639">
      <c r="J639" s="110"/>
      <c r="K639" s="111"/>
    </row>
    <row r="640">
      <c r="J640" s="110"/>
      <c r="K640" s="111"/>
    </row>
    <row r="641">
      <c r="J641" s="110"/>
      <c r="K641" s="111"/>
    </row>
    <row r="642">
      <c r="J642" s="110"/>
      <c r="K642" s="111"/>
    </row>
    <row r="643">
      <c r="J643" s="110"/>
      <c r="K643" s="111"/>
    </row>
    <row r="644">
      <c r="J644" s="110"/>
      <c r="K644" s="111"/>
    </row>
    <row r="645">
      <c r="J645" s="110"/>
      <c r="K645" s="111"/>
    </row>
    <row r="646">
      <c r="J646" s="110"/>
      <c r="K646" s="111"/>
    </row>
    <row r="647">
      <c r="J647" s="110"/>
      <c r="K647" s="111"/>
    </row>
    <row r="648">
      <c r="J648" s="110"/>
      <c r="K648" s="111"/>
    </row>
    <row r="649">
      <c r="J649" s="110"/>
      <c r="K649" s="111"/>
    </row>
    <row r="650">
      <c r="J650" s="110"/>
      <c r="K650" s="111"/>
    </row>
    <row r="651">
      <c r="J651" s="110"/>
      <c r="K651" s="111"/>
    </row>
    <row r="652">
      <c r="J652" s="110"/>
      <c r="K652" s="111"/>
    </row>
    <row r="653">
      <c r="J653" s="110"/>
      <c r="K653" s="111"/>
    </row>
    <row r="654">
      <c r="J654" s="110"/>
      <c r="K654" s="111"/>
    </row>
    <row r="655">
      <c r="J655" s="110"/>
      <c r="K655" s="111"/>
    </row>
    <row r="656">
      <c r="J656" s="110"/>
      <c r="K656" s="111"/>
    </row>
    <row r="657">
      <c r="J657" s="110"/>
      <c r="K657" s="111"/>
    </row>
    <row r="658">
      <c r="J658" s="110"/>
      <c r="K658" s="111"/>
    </row>
    <row r="659">
      <c r="J659" s="110"/>
      <c r="K659" s="111"/>
    </row>
    <row r="660">
      <c r="J660" s="110"/>
      <c r="K660" s="111"/>
    </row>
    <row r="661">
      <c r="J661" s="110"/>
      <c r="K661" s="111"/>
    </row>
    <row r="662">
      <c r="J662" s="110"/>
      <c r="K662" s="111"/>
    </row>
    <row r="663">
      <c r="J663" s="110"/>
      <c r="K663" s="111"/>
    </row>
    <row r="664">
      <c r="J664" s="110"/>
      <c r="K664" s="111"/>
    </row>
    <row r="665">
      <c r="J665" s="110"/>
      <c r="K665" s="111"/>
    </row>
    <row r="666">
      <c r="J666" s="110"/>
      <c r="K666" s="111"/>
    </row>
    <row r="667">
      <c r="J667" s="110"/>
      <c r="K667" s="111"/>
    </row>
    <row r="668">
      <c r="J668" s="110"/>
      <c r="K668" s="111"/>
    </row>
    <row r="669">
      <c r="J669" s="110"/>
      <c r="K669" s="111"/>
    </row>
    <row r="670">
      <c r="J670" s="110"/>
      <c r="K670" s="111"/>
    </row>
    <row r="671">
      <c r="J671" s="110"/>
      <c r="K671" s="111"/>
    </row>
    <row r="672">
      <c r="J672" s="110"/>
      <c r="K672" s="111"/>
    </row>
    <row r="673">
      <c r="J673" s="110"/>
      <c r="K673" s="111"/>
    </row>
    <row r="674">
      <c r="J674" s="110"/>
      <c r="K674" s="111"/>
    </row>
    <row r="675">
      <c r="J675" s="110"/>
      <c r="K675" s="111"/>
    </row>
    <row r="676">
      <c r="J676" s="110"/>
      <c r="K676" s="111"/>
    </row>
    <row r="677">
      <c r="J677" s="110"/>
      <c r="K677" s="111"/>
    </row>
    <row r="678">
      <c r="J678" s="110"/>
      <c r="K678" s="111"/>
    </row>
    <row r="679">
      <c r="J679" s="110"/>
      <c r="K679" s="111"/>
    </row>
    <row r="680">
      <c r="J680" s="110"/>
      <c r="K680" s="111"/>
    </row>
    <row r="681">
      <c r="J681" s="110"/>
      <c r="K681" s="111"/>
    </row>
    <row r="682">
      <c r="J682" s="110"/>
      <c r="K682" s="111"/>
    </row>
    <row r="683">
      <c r="J683" s="110"/>
      <c r="K683" s="111"/>
    </row>
    <row r="684">
      <c r="J684" s="110"/>
      <c r="K684" s="111"/>
    </row>
    <row r="685">
      <c r="J685" s="110"/>
      <c r="K685" s="111"/>
    </row>
    <row r="686">
      <c r="J686" s="110"/>
      <c r="K686" s="111"/>
    </row>
    <row r="687">
      <c r="J687" s="110"/>
      <c r="K687" s="111"/>
    </row>
    <row r="688">
      <c r="J688" s="110"/>
      <c r="K688" s="111"/>
    </row>
    <row r="689">
      <c r="J689" s="110"/>
      <c r="K689" s="111"/>
    </row>
    <row r="690">
      <c r="J690" s="110"/>
      <c r="K690" s="111"/>
    </row>
    <row r="691">
      <c r="J691" s="110"/>
      <c r="K691" s="111"/>
    </row>
    <row r="692">
      <c r="J692" s="110"/>
      <c r="K692" s="111"/>
    </row>
    <row r="693">
      <c r="J693" s="110"/>
      <c r="K693" s="111"/>
    </row>
    <row r="694">
      <c r="J694" s="110"/>
      <c r="K694" s="111"/>
    </row>
    <row r="695">
      <c r="J695" s="110"/>
      <c r="K695" s="111"/>
    </row>
    <row r="696">
      <c r="J696" s="110"/>
      <c r="K696" s="111"/>
    </row>
    <row r="697">
      <c r="J697" s="110"/>
      <c r="K697" s="111"/>
    </row>
    <row r="698">
      <c r="J698" s="110"/>
      <c r="K698" s="111"/>
    </row>
    <row r="699">
      <c r="J699" s="110"/>
      <c r="K699" s="111"/>
    </row>
    <row r="700">
      <c r="J700" s="110"/>
      <c r="K700" s="111"/>
    </row>
    <row r="701">
      <c r="J701" s="110"/>
      <c r="K701" s="111"/>
    </row>
    <row r="702">
      <c r="J702" s="110"/>
      <c r="K702" s="111"/>
    </row>
    <row r="703">
      <c r="J703" s="110"/>
      <c r="K703" s="111"/>
    </row>
    <row r="704">
      <c r="J704" s="110"/>
      <c r="K704" s="111"/>
    </row>
    <row r="705">
      <c r="J705" s="110"/>
      <c r="K705" s="111"/>
    </row>
    <row r="706">
      <c r="J706" s="110"/>
      <c r="K706" s="111"/>
    </row>
    <row r="707">
      <c r="J707" s="110"/>
      <c r="K707" s="111"/>
    </row>
    <row r="708">
      <c r="J708" s="110"/>
      <c r="K708" s="111"/>
    </row>
    <row r="709">
      <c r="J709" s="110"/>
      <c r="K709" s="111"/>
    </row>
    <row r="710">
      <c r="J710" s="110"/>
      <c r="K710" s="111"/>
    </row>
    <row r="711">
      <c r="J711" s="110"/>
      <c r="K711" s="111"/>
    </row>
    <row r="712">
      <c r="J712" s="110"/>
      <c r="K712" s="111"/>
    </row>
    <row r="713">
      <c r="J713" s="110"/>
      <c r="K713" s="111"/>
    </row>
    <row r="714">
      <c r="J714" s="110"/>
      <c r="K714" s="111"/>
    </row>
    <row r="715">
      <c r="J715" s="110"/>
      <c r="K715" s="111"/>
    </row>
    <row r="716">
      <c r="J716" s="110"/>
      <c r="K716" s="111"/>
    </row>
    <row r="717">
      <c r="J717" s="110"/>
      <c r="K717" s="111"/>
    </row>
    <row r="718">
      <c r="J718" s="110"/>
      <c r="K718" s="111"/>
    </row>
    <row r="719">
      <c r="J719" s="110"/>
      <c r="K719" s="111"/>
    </row>
    <row r="720">
      <c r="J720" s="110"/>
      <c r="K720" s="111"/>
    </row>
    <row r="721">
      <c r="J721" s="110"/>
      <c r="K721" s="111"/>
    </row>
    <row r="722">
      <c r="J722" s="110"/>
      <c r="K722" s="111"/>
    </row>
    <row r="723">
      <c r="J723" s="110"/>
      <c r="K723" s="111"/>
    </row>
    <row r="724">
      <c r="J724" s="110"/>
      <c r="K724" s="111"/>
    </row>
    <row r="725">
      <c r="J725" s="110"/>
      <c r="K725" s="111"/>
    </row>
    <row r="726">
      <c r="J726" s="110"/>
      <c r="K726" s="111"/>
    </row>
    <row r="727">
      <c r="J727" s="110"/>
      <c r="K727" s="111"/>
    </row>
    <row r="728">
      <c r="J728" s="110"/>
      <c r="K728" s="111"/>
    </row>
    <row r="729">
      <c r="J729" s="110"/>
      <c r="K729" s="111"/>
    </row>
    <row r="730">
      <c r="J730" s="110"/>
      <c r="K730" s="111"/>
    </row>
    <row r="731">
      <c r="J731" s="110"/>
      <c r="K731" s="111"/>
    </row>
    <row r="732">
      <c r="J732" s="110"/>
      <c r="K732" s="111"/>
    </row>
    <row r="733">
      <c r="J733" s="110"/>
      <c r="K733" s="111"/>
    </row>
    <row r="734">
      <c r="J734" s="110"/>
      <c r="K734" s="111"/>
    </row>
    <row r="735">
      <c r="J735" s="110"/>
      <c r="K735" s="111"/>
    </row>
    <row r="736">
      <c r="J736" s="110"/>
      <c r="K736" s="111"/>
    </row>
    <row r="737">
      <c r="J737" s="110"/>
      <c r="K737" s="111"/>
    </row>
    <row r="738">
      <c r="J738" s="110"/>
      <c r="K738" s="111"/>
    </row>
    <row r="739">
      <c r="J739" s="110"/>
      <c r="K739" s="111"/>
    </row>
    <row r="740">
      <c r="J740" s="110"/>
      <c r="K740" s="111"/>
    </row>
    <row r="741">
      <c r="J741" s="110"/>
      <c r="K741" s="111"/>
    </row>
    <row r="742">
      <c r="J742" s="110"/>
      <c r="K742" s="111"/>
    </row>
    <row r="743">
      <c r="J743" s="110"/>
      <c r="K743" s="111"/>
    </row>
    <row r="744">
      <c r="J744" s="110"/>
      <c r="K744" s="111"/>
    </row>
    <row r="745">
      <c r="J745" s="110"/>
      <c r="K745" s="111"/>
    </row>
    <row r="746">
      <c r="J746" s="110"/>
      <c r="K746" s="111"/>
    </row>
    <row r="747">
      <c r="J747" s="110"/>
      <c r="K747" s="111"/>
    </row>
    <row r="748">
      <c r="J748" s="110"/>
      <c r="K748" s="111"/>
    </row>
    <row r="749">
      <c r="J749" s="110"/>
      <c r="K749" s="111"/>
    </row>
    <row r="750">
      <c r="J750" s="110"/>
      <c r="K750" s="111"/>
    </row>
    <row r="751">
      <c r="J751" s="110"/>
      <c r="K751" s="111"/>
    </row>
    <row r="752">
      <c r="J752" s="110"/>
      <c r="K752" s="111"/>
    </row>
    <row r="753">
      <c r="J753" s="110"/>
      <c r="K753" s="111"/>
    </row>
    <row r="754">
      <c r="J754" s="110"/>
      <c r="K754" s="111"/>
    </row>
    <row r="755">
      <c r="J755" s="110"/>
      <c r="K755" s="111"/>
    </row>
    <row r="756">
      <c r="J756" s="110"/>
      <c r="K756" s="111"/>
    </row>
    <row r="757">
      <c r="J757" s="110"/>
      <c r="K757" s="111"/>
    </row>
    <row r="758">
      <c r="J758" s="110"/>
      <c r="K758" s="111"/>
    </row>
    <row r="759">
      <c r="J759" s="110"/>
      <c r="K759" s="111"/>
    </row>
    <row r="760">
      <c r="J760" s="110"/>
      <c r="K760" s="111"/>
    </row>
    <row r="761">
      <c r="J761" s="110"/>
      <c r="K761" s="111"/>
    </row>
    <row r="762">
      <c r="J762" s="110"/>
      <c r="K762" s="111"/>
    </row>
    <row r="763">
      <c r="J763" s="110"/>
      <c r="K763" s="111"/>
    </row>
    <row r="764">
      <c r="J764" s="110"/>
      <c r="K764" s="111"/>
    </row>
    <row r="765">
      <c r="J765" s="110"/>
      <c r="K765" s="111"/>
    </row>
    <row r="766">
      <c r="J766" s="110"/>
      <c r="K766" s="111"/>
    </row>
    <row r="767">
      <c r="J767" s="110"/>
      <c r="K767" s="111"/>
    </row>
    <row r="768">
      <c r="J768" s="110"/>
      <c r="K768" s="111"/>
    </row>
    <row r="769">
      <c r="J769" s="110"/>
      <c r="K769" s="111"/>
    </row>
    <row r="770">
      <c r="J770" s="110"/>
      <c r="K770" s="111"/>
    </row>
    <row r="771">
      <c r="J771" s="110"/>
      <c r="K771" s="111"/>
    </row>
    <row r="772">
      <c r="J772" s="110"/>
      <c r="K772" s="111"/>
    </row>
    <row r="773">
      <c r="J773" s="110"/>
      <c r="K773" s="111"/>
    </row>
    <row r="774">
      <c r="J774" s="110"/>
      <c r="K774" s="111"/>
    </row>
    <row r="775">
      <c r="J775" s="110"/>
      <c r="K775" s="111"/>
    </row>
    <row r="776">
      <c r="J776" s="110"/>
      <c r="K776" s="111"/>
    </row>
    <row r="777">
      <c r="J777" s="110"/>
      <c r="K777" s="111"/>
    </row>
    <row r="778">
      <c r="J778" s="110"/>
      <c r="K778" s="111"/>
    </row>
    <row r="779">
      <c r="J779" s="110"/>
      <c r="K779" s="111"/>
    </row>
    <row r="780">
      <c r="J780" s="110"/>
      <c r="K780" s="111"/>
    </row>
    <row r="781">
      <c r="J781" s="110"/>
      <c r="K781" s="111"/>
    </row>
    <row r="782">
      <c r="J782" s="110"/>
      <c r="K782" s="111"/>
    </row>
    <row r="783">
      <c r="J783" s="110"/>
      <c r="K783" s="111"/>
    </row>
    <row r="784">
      <c r="J784" s="110"/>
      <c r="K784" s="111"/>
    </row>
    <row r="785">
      <c r="J785" s="110"/>
      <c r="K785" s="111"/>
    </row>
    <row r="786">
      <c r="J786" s="110"/>
      <c r="K786" s="111"/>
    </row>
    <row r="787">
      <c r="J787" s="110"/>
      <c r="K787" s="111"/>
    </row>
    <row r="788">
      <c r="J788" s="110"/>
      <c r="K788" s="111"/>
    </row>
    <row r="789">
      <c r="J789" s="110"/>
      <c r="K789" s="111"/>
    </row>
    <row r="790">
      <c r="J790" s="110"/>
      <c r="K790" s="111"/>
    </row>
    <row r="791">
      <c r="J791" s="110"/>
      <c r="K791" s="111"/>
    </row>
    <row r="792">
      <c r="J792" s="110"/>
      <c r="K792" s="111"/>
    </row>
    <row r="793">
      <c r="J793" s="110"/>
      <c r="K793" s="111"/>
    </row>
    <row r="794">
      <c r="J794" s="110"/>
      <c r="K794" s="111"/>
    </row>
    <row r="795">
      <c r="J795" s="110"/>
      <c r="K795" s="111"/>
    </row>
    <row r="796">
      <c r="J796" s="110"/>
      <c r="K796" s="111"/>
    </row>
    <row r="797">
      <c r="J797" s="110"/>
      <c r="K797" s="111"/>
    </row>
    <row r="798">
      <c r="J798" s="110"/>
      <c r="K798" s="111"/>
    </row>
    <row r="799">
      <c r="J799" s="110"/>
      <c r="K799" s="111"/>
    </row>
    <row r="800">
      <c r="J800" s="110"/>
      <c r="K800" s="111"/>
    </row>
    <row r="801">
      <c r="J801" s="110"/>
      <c r="K801" s="111"/>
    </row>
    <row r="802">
      <c r="J802" s="110"/>
      <c r="K802" s="111"/>
    </row>
    <row r="803">
      <c r="J803" s="110"/>
      <c r="K803" s="111"/>
    </row>
    <row r="804">
      <c r="J804" s="110"/>
      <c r="K804" s="111"/>
    </row>
    <row r="805">
      <c r="J805" s="110"/>
      <c r="K805" s="111"/>
    </row>
    <row r="806">
      <c r="J806" s="110"/>
      <c r="K806" s="111"/>
    </row>
    <row r="807">
      <c r="J807" s="110"/>
      <c r="K807" s="111"/>
    </row>
    <row r="808">
      <c r="J808" s="110"/>
      <c r="K808" s="111"/>
    </row>
    <row r="809">
      <c r="J809" s="110"/>
      <c r="K809" s="111"/>
    </row>
    <row r="810">
      <c r="J810" s="110"/>
      <c r="K810" s="111"/>
    </row>
    <row r="811">
      <c r="J811" s="110"/>
      <c r="K811" s="111"/>
    </row>
    <row r="812">
      <c r="J812" s="110"/>
      <c r="K812" s="111"/>
    </row>
    <row r="813">
      <c r="J813" s="110"/>
      <c r="K813" s="111"/>
    </row>
    <row r="814">
      <c r="J814" s="110"/>
      <c r="K814" s="111"/>
    </row>
    <row r="815">
      <c r="J815" s="110"/>
      <c r="K815" s="111"/>
    </row>
    <row r="816">
      <c r="J816" s="110"/>
      <c r="K816" s="111"/>
    </row>
    <row r="817">
      <c r="J817" s="110"/>
      <c r="K817" s="111"/>
    </row>
    <row r="818">
      <c r="J818" s="110"/>
      <c r="K818" s="111"/>
    </row>
    <row r="819">
      <c r="J819" s="110"/>
      <c r="K819" s="111"/>
    </row>
    <row r="820">
      <c r="J820" s="110"/>
      <c r="K820" s="111"/>
    </row>
    <row r="821">
      <c r="J821" s="110"/>
      <c r="K821" s="111"/>
    </row>
    <row r="822">
      <c r="J822" s="110"/>
      <c r="K822" s="111"/>
    </row>
    <row r="823">
      <c r="J823" s="110"/>
      <c r="K823" s="111"/>
    </row>
    <row r="824">
      <c r="J824" s="110"/>
      <c r="K824" s="111"/>
    </row>
    <row r="825">
      <c r="J825" s="110"/>
      <c r="K825" s="111"/>
    </row>
    <row r="826">
      <c r="J826" s="110"/>
      <c r="K826" s="111"/>
    </row>
    <row r="827">
      <c r="J827" s="110"/>
      <c r="K827" s="111"/>
    </row>
    <row r="828">
      <c r="J828" s="110"/>
      <c r="K828" s="111"/>
    </row>
    <row r="829">
      <c r="J829" s="110"/>
      <c r="K829" s="111"/>
    </row>
    <row r="830">
      <c r="J830" s="110"/>
      <c r="K830" s="111"/>
    </row>
    <row r="831">
      <c r="J831" s="110"/>
      <c r="K831" s="111"/>
    </row>
    <row r="832">
      <c r="J832" s="110"/>
      <c r="K832" s="111"/>
    </row>
    <row r="833">
      <c r="J833" s="110"/>
      <c r="K833" s="111"/>
    </row>
    <row r="834">
      <c r="J834" s="110"/>
      <c r="K834" s="111"/>
    </row>
    <row r="835">
      <c r="J835" s="110"/>
      <c r="K835" s="111"/>
    </row>
    <row r="836">
      <c r="J836" s="110"/>
      <c r="K836" s="111"/>
    </row>
    <row r="837">
      <c r="J837" s="110"/>
      <c r="K837" s="111"/>
    </row>
    <row r="838">
      <c r="J838" s="110"/>
      <c r="K838" s="111"/>
    </row>
    <row r="839">
      <c r="J839" s="110"/>
      <c r="K839" s="111"/>
    </row>
    <row r="840">
      <c r="J840" s="110"/>
      <c r="K840" s="111"/>
    </row>
    <row r="841">
      <c r="J841" s="110"/>
      <c r="K841" s="111"/>
    </row>
    <row r="842">
      <c r="J842" s="110"/>
      <c r="K842" s="111"/>
    </row>
    <row r="843">
      <c r="J843" s="110"/>
      <c r="K843" s="111"/>
    </row>
    <row r="844">
      <c r="J844" s="110"/>
      <c r="K844" s="111"/>
    </row>
    <row r="845">
      <c r="J845" s="110"/>
      <c r="K845" s="111"/>
    </row>
    <row r="846">
      <c r="J846" s="110"/>
      <c r="K846" s="111"/>
    </row>
    <row r="847">
      <c r="J847" s="110"/>
      <c r="K847" s="111"/>
    </row>
    <row r="848">
      <c r="J848" s="110"/>
      <c r="K848" s="111"/>
    </row>
    <row r="849">
      <c r="J849" s="110"/>
      <c r="K849" s="111"/>
    </row>
    <row r="850">
      <c r="J850" s="110"/>
      <c r="K850" s="111"/>
    </row>
    <row r="851">
      <c r="J851" s="110"/>
      <c r="K851" s="111"/>
    </row>
    <row r="852">
      <c r="J852" s="110"/>
      <c r="K852" s="111"/>
    </row>
    <row r="853">
      <c r="J853" s="110"/>
      <c r="K853" s="111"/>
    </row>
    <row r="854">
      <c r="J854" s="110"/>
      <c r="K854" s="111"/>
    </row>
    <row r="855">
      <c r="J855" s="110"/>
      <c r="K855" s="111"/>
    </row>
    <row r="856">
      <c r="J856" s="110"/>
      <c r="K856" s="111"/>
    </row>
    <row r="857">
      <c r="J857" s="110"/>
      <c r="K857" s="111"/>
    </row>
    <row r="858">
      <c r="J858" s="110"/>
      <c r="K858" s="111"/>
    </row>
    <row r="859">
      <c r="J859" s="110"/>
      <c r="K859" s="111"/>
    </row>
    <row r="860">
      <c r="J860" s="110"/>
      <c r="K860" s="111"/>
    </row>
    <row r="861">
      <c r="J861" s="110"/>
      <c r="K861" s="111"/>
    </row>
    <row r="862">
      <c r="J862" s="110"/>
      <c r="K862" s="111"/>
    </row>
    <row r="863">
      <c r="J863" s="110"/>
      <c r="K863" s="111"/>
    </row>
    <row r="864">
      <c r="J864" s="110"/>
      <c r="K864" s="111"/>
    </row>
    <row r="865">
      <c r="J865" s="110"/>
      <c r="K865" s="111"/>
    </row>
    <row r="866">
      <c r="J866" s="110"/>
      <c r="K866" s="111"/>
    </row>
    <row r="867">
      <c r="J867" s="110"/>
      <c r="K867" s="111"/>
    </row>
    <row r="868">
      <c r="J868" s="110"/>
      <c r="K868" s="111"/>
    </row>
    <row r="869">
      <c r="J869" s="110"/>
      <c r="K869" s="111"/>
    </row>
    <row r="870">
      <c r="J870" s="110"/>
      <c r="K870" s="111"/>
    </row>
    <row r="871">
      <c r="J871" s="110"/>
      <c r="K871" s="111"/>
    </row>
    <row r="872">
      <c r="J872" s="110"/>
      <c r="K872" s="111"/>
    </row>
    <row r="873">
      <c r="J873" s="110"/>
      <c r="K873" s="111"/>
    </row>
    <row r="874">
      <c r="J874" s="110"/>
      <c r="K874" s="111"/>
    </row>
    <row r="875">
      <c r="J875" s="110"/>
      <c r="K875" s="111"/>
    </row>
    <row r="876">
      <c r="J876" s="110"/>
      <c r="K876" s="111"/>
    </row>
    <row r="877">
      <c r="J877" s="110"/>
      <c r="K877" s="111"/>
    </row>
    <row r="878">
      <c r="J878" s="110"/>
      <c r="K878" s="111"/>
    </row>
    <row r="879">
      <c r="J879" s="110"/>
      <c r="K879" s="111"/>
    </row>
    <row r="880">
      <c r="J880" s="110"/>
      <c r="K880" s="111"/>
    </row>
    <row r="881">
      <c r="J881" s="110"/>
      <c r="K881" s="111"/>
    </row>
    <row r="882">
      <c r="J882" s="110"/>
      <c r="K882" s="111"/>
    </row>
    <row r="883">
      <c r="J883" s="110"/>
      <c r="K883" s="111"/>
    </row>
    <row r="884">
      <c r="J884" s="110"/>
      <c r="K884" s="111"/>
    </row>
    <row r="885">
      <c r="J885" s="110"/>
      <c r="K885" s="111"/>
    </row>
    <row r="886">
      <c r="J886" s="110"/>
      <c r="K886" s="111"/>
    </row>
    <row r="887">
      <c r="J887" s="110"/>
      <c r="K887" s="111"/>
    </row>
    <row r="888">
      <c r="J888" s="110"/>
      <c r="K888" s="111"/>
    </row>
    <row r="889">
      <c r="J889" s="110"/>
      <c r="K889" s="111"/>
    </row>
    <row r="890">
      <c r="J890" s="110"/>
      <c r="K890" s="111"/>
    </row>
    <row r="891">
      <c r="J891" s="110"/>
      <c r="K891" s="111"/>
    </row>
    <row r="892">
      <c r="J892" s="110"/>
      <c r="K892" s="111"/>
    </row>
    <row r="893">
      <c r="J893" s="110"/>
      <c r="K893" s="111"/>
    </row>
    <row r="894">
      <c r="J894" s="110"/>
      <c r="K894" s="111"/>
    </row>
    <row r="895">
      <c r="J895" s="110"/>
      <c r="K895" s="111"/>
    </row>
    <row r="896">
      <c r="J896" s="110"/>
      <c r="K896" s="111"/>
    </row>
    <row r="897">
      <c r="J897" s="110"/>
      <c r="K897" s="111"/>
    </row>
    <row r="898">
      <c r="J898" s="110"/>
      <c r="K898" s="111"/>
    </row>
    <row r="899">
      <c r="J899" s="110"/>
      <c r="K899" s="111"/>
    </row>
    <row r="900">
      <c r="J900" s="110"/>
      <c r="K900" s="111"/>
    </row>
    <row r="901">
      <c r="J901" s="110"/>
      <c r="K901" s="111"/>
    </row>
    <row r="902">
      <c r="J902" s="110"/>
      <c r="K902" s="111"/>
    </row>
    <row r="903">
      <c r="J903" s="110"/>
      <c r="K903" s="111"/>
    </row>
    <row r="904">
      <c r="J904" s="110"/>
      <c r="K904" s="111"/>
    </row>
    <row r="905">
      <c r="J905" s="110"/>
      <c r="K905" s="111"/>
    </row>
    <row r="906">
      <c r="J906" s="110"/>
      <c r="K906" s="111"/>
    </row>
    <row r="907">
      <c r="J907" s="110"/>
      <c r="K907" s="111"/>
    </row>
    <row r="908">
      <c r="J908" s="110"/>
      <c r="K908" s="111"/>
    </row>
    <row r="909">
      <c r="J909" s="110"/>
      <c r="K909" s="111"/>
    </row>
    <row r="910">
      <c r="J910" s="110"/>
      <c r="K910" s="111"/>
    </row>
    <row r="911">
      <c r="J911" s="110"/>
      <c r="K911" s="111"/>
    </row>
    <row r="912">
      <c r="J912" s="110"/>
      <c r="K912" s="111"/>
    </row>
    <row r="913">
      <c r="J913" s="110"/>
      <c r="K913" s="111"/>
    </row>
    <row r="914">
      <c r="J914" s="110"/>
      <c r="K914" s="111"/>
    </row>
    <row r="915">
      <c r="J915" s="110"/>
      <c r="K915" s="111"/>
    </row>
    <row r="916">
      <c r="J916" s="110"/>
      <c r="K916" s="111"/>
    </row>
    <row r="917">
      <c r="J917" s="110"/>
      <c r="K917" s="111"/>
    </row>
    <row r="918">
      <c r="J918" s="110"/>
      <c r="K918" s="111"/>
    </row>
    <row r="919">
      <c r="J919" s="110"/>
      <c r="K919" s="111"/>
    </row>
    <row r="920">
      <c r="J920" s="110"/>
      <c r="K920" s="111"/>
    </row>
    <row r="921">
      <c r="J921" s="110"/>
      <c r="K921" s="111"/>
    </row>
    <row r="922">
      <c r="J922" s="110"/>
      <c r="K922" s="111"/>
    </row>
    <row r="923">
      <c r="J923" s="110"/>
      <c r="K923" s="111"/>
    </row>
    <row r="924">
      <c r="J924" s="110"/>
      <c r="K924" s="111"/>
    </row>
    <row r="925">
      <c r="J925" s="110"/>
      <c r="K925" s="111"/>
    </row>
    <row r="926">
      <c r="J926" s="110"/>
      <c r="K926" s="111"/>
    </row>
    <row r="927">
      <c r="J927" s="110"/>
      <c r="K927" s="111"/>
    </row>
    <row r="928">
      <c r="J928" s="110"/>
      <c r="K928" s="111"/>
    </row>
    <row r="929">
      <c r="J929" s="110"/>
      <c r="K929" s="111"/>
    </row>
    <row r="930">
      <c r="J930" s="110"/>
      <c r="K930" s="111"/>
    </row>
    <row r="931">
      <c r="J931" s="110"/>
      <c r="K931" s="111"/>
    </row>
    <row r="932">
      <c r="J932" s="110"/>
      <c r="K932" s="111"/>
    </row>
    <row r="933">
      <c r="J933" s="110"/>
      <c r="K933" s="111"/>
    </row>
    <row r="934">
      <c r="J934" s="110"/>
      <c r="K934" s="111"/>
    </row>
    <row r="935">
      <c r="J935" s="110"/>
      <c r="K935" s="111"/>
    </row>
    <row r="936">
      <c r="J936" s="110"/>
      <c r="K936" s="111"/>
    </row>
    <row r="937">
      <c r="J937" s="110"/>
      <c r="K937" s="111"/>
    </row>
    <row r="938">
      <c r="J938" s="110"/>
      <c r="K938" s="111"/>
    </row>
    <row r="939">
      <c r="J939" s="110"/>
      <c r="K939" s="111"/>
    </row>
    <row r="940">
      <c r="J940" s="110"/>
      <c r="K940" s="111"/>
    </row>
    <row r="941">
      <c r="J941" s="110"/>
      <c r="K941" s="111"/>
    </row>
    <row r="942">
      <c r="J942" s="110"/>
      <c r="K942" s="111"/>
    </row>
    <row r="943">
      <c r="J943" s="110"/>
      <c r="K943" s="111"/>
    </row>
    <row r="944">
      <c r="J944" s="110"/>
      <c r="K944" s="111"/>
    </row>
    <row r="945">
      <c r="J945" s="110"/>
      <c r="K945" s="111"/>
    </row>
    <row r="946">
      <c r="J946" s="110"/>
      <c r="K946" s="111"/>
    </row>
    <row r="947">
      <c r="J947" s="110"/>
      <c r="K947" s="111"/>
    </row>
    <row r="948">
      <c r="J948" s="110"/>
      <c r="K948" s="111"/>
    </row>
    <row r="949">
      <c r="J949" s="110"/>
      <c r="K949" s="111"/>
    </row>
    <row r="950">
      <c r="J950" s="110"/>
      <c r="K950" s="111"/>
    </row>
    <row r="951">
      <c r="J951" s="110"/>
      <c r="K951" s="111"/>
    </row>
    <row r="952">
      <c r="J952" s="110"/>
      <c r="K952" s="111"/>
    </row>
    <row r="953">
      <c r="J953" s="110"/>
      <c r="K953" s="111"/>
    </row>
    <row r="954">
      <c r="J954" s="110"/>
      <c r="K954" s="111"/>
    </row>
    <row r="955">
      <c r="J955" s="110"/>
      <c r="K955" s="111"/>
    </row>
    <row r="956">
      <c r="J956" s="110"/>
      <c r="K956" s="111"/>
    </row>
    <row r="957">
      <c r="J957" s="110"/>
      <c r="K957" s="111"/>
    </row>
    <row r="958">
      <c r="J958" s="110"/>
      <c r="K958" s="111"/>
    </row>
    <row r="959">
      <c r="J959" s="110"/>
      <c r="K959" s="111"/>
    </row>
    <row r="960">
      <c r="J960" s="110"/>
      <c r="K960" s="111"/>
    </row>
    <row r="961">
      <c r="J961" s="110"/>
      <c r="K961" s="111"/>
    </row>
    <row r="962">
      <c r="J962" s="110"/>
      <c r="K962" s="111"/>
    </row>
    <row r="963">
      <c r="J963" s="110"/>
      <c r="K963" s="111"/>
    </row>
    <row r="964">
      <c r="J964" s="110"/>
      <c r="K964" s="111"/>
    </row>
    <row r="965">
      <c r="J965" s="110"/>
      <c r="K965" s="111"/>
    </row>
    <row r="966">
      <c r="J966" s="110"/>
      <c r="K966" s="111"/>
    </row>
    <row r="967">
      <c r="J967" s="110"/>
      <c r="K967" s="111"/>
    </row>
    <row r="968">
      <c r="J968" s="110"/>
      <c r="K968" s="111"/>
    </row>
    <row r="969">
      <c r="J969" s="110"/>
      <c r="K969" s="111"/>
    </row>
    <row r="970">
      <c r="J970" s="110"/>
      <c r="K970" s="111"/>
    </row>
    <row r="971">
      <c r="J971" s="110"/>
      <c r="K971" s="111"/>
    </row>
    <row r="972">
      <c r="J972" s="110"/>
      <c r="K972" s="111"/>
    </row>
    <row r="973">
      <c r="J973" s="110"/>
      <c r="K973" s="111"/>
    </row>
    <row r="974">
      <c r="J974" s="110"/>
      <c r="K974" s="111"/>
    </row>
    <row r="975">
      <c r="J975" s="110"/>
      <c r="K975" s="111"/>
    </row>
    <row r="976">
      <c r="J976" s="110"/>
      <c r="K976" s="111"/>
    </row>
    <row r="977">
      <c r="J977" s="110"/>
      <c r="K977" s="111"/>
    </row>
    <row r="978">
      <c r="J978" s="110"/>
      <c r="K978" s="111"/>
    </row>
    <row r="979">
      <c r="J979" s="110"/>
      <c r="K979" s="111"/>
    </row>
    <row r="980">
      <c r="J980" s="110"/>
      <c r="K980" s="111"/>
    </row>
    <row r="981">
      <c r="J981" s="110"/>
      <c r="K981" s="111"/>
    </row>
    <row r="982">
      <c r="J982" s="110"/>
      <c r="K982" s="111"/>
    </row>
    <row r="983">
      <c r="J983" s="110"/>
      <c r="K983" s="111"/>
    </row>
    <row r="984">
      <c r="J984" s="110"/>
      <c r="K984" s="111"/>
    </row>
    <row r="985">
      <c r="J985" s="110"/>
      <c r="K985" s="111"/>
    </row>
    <row r="986">
      <c r="J986" s="110"/>
      <c r="K986" s="111"/>
    </row>
    <row r="987">
      <c r="J987" s="110"/>
      <c r="K987" s="111"/>
    </row>
    <row r="988">
      <c r="J988" s="110"/>
      <c r="K988" s="111"/>
    </row>
    <row r="989">
      <c r="J989" s="110"/>
      <c r="K989" s="111"/>
    </row>
    <row r="990">
      <c r="J990" s="110"/>
      <c r="K990" s="111"/>
    </row>
    <row r="991">
      <c r="J991" s="110"/>
      <c r="K991" s="111"/>
    </row>
    <row r="992">
      <c r="J992" s="110"/>
      <c r="K992" s="111"/>
    </row>
    <row r="993">
      <c r="J993" s="110"/>
      <c r="K993" s="111"/>
    </row>
    <row r="994">
      <c r="J994" s="110"/>
      <c r="K994" s="111"/>
    </row>
    <row r="995">
      <c r="J995" s="110"/>
      <c r="K995" s="111"/>
    </row>
    <row r="996">
      <c r="J996" s="110"/>
      <c r="K996" s="111"/>
    </row>
    <row r="997">
      <c r="J997" s="110"/>
      <c r="K997" s="111"/>
    </row>
    <row r="998">
      <c r="J998" s="110"/>
      <c r="K998" s="111"/>
    </row>
    <row r="999">
      <c r="J999" s="110"/>
      <c r="K999" s="111"/>
    </row>
    <row r="1000">
      <c r="J1000" s="110"/>
      <c r="K1000" s="111"/>
    </row>
  </sheetData>
  <dataValidations>
    <dataValidation type="list" allowBlank="1" showErrorMessage="1" sqref="D1">
      <formula1>"1,2,3,4,5,6,7,8,9,10,11,12"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</row>
    <row r="2">
      <c r="A2" s="77" t="s">
        <v>152</v>
      </c>
      <c r="B2" s="78" t="s">
        <v>67</v>
      </c>
      <c r="C2" s="79">
        <v>2500.0</v>
      </c>
      <c r="D2" s="78" t="s">
        <v>153</v>
      </c>
      <c r="E2" s="78">
        <v>1.0</v>
      </c>
      <c r="F2" s="78" t="s">
        <v>12</v>
      </c>
      <c r="G2" s="78"/>
      <c r="H2" s="78" t="s">
        <v>154</v>
      </c>
      <c r="I2" s="21"/>
    </row>
    <row r="3">
      <c r="A3" s="77" t="s">
        <v>90</v>
      </c>
      <c r="B3" s="78" t="s">
        <v>67</v>
      </c>
      <c r="C3" s="79">
        <v>600.0</v>
      </c>
      <c r="D3" s="78" t="s">
        <v>153</v>
      </c>
      <c r="E3" s="78">
        <v>1.0</v>
      </c>
      <c r="F3" s="78" t="s">
        <v>9</v>
      </c>
      <c r="G3" s="78"/>
      <c r="H3" s="78" t="s">
        <v>154</v>
      </c>
      <c r="I3" s="21"/>
    </row>
    <row r="4">
      <c r="A4" s="77" t="s">
        <v>155</v>
      </c>
      <c r="B4" s="78" t="s">
        <v>67</v>
      </c>
      <c r="C4" s="79">
        <v>600.0</v>
      </c>
      <c r="D4" s="78" t="s">
        <v>153</v>
      </c>
      <c r="E4" s="78">
        <v>1.0</v>
      </c>
      <c r="F4" s="78" t="s">
        <v>12</v>
      </c>
      <c r="G4" s="78"/>
      <c r="H4" s="78" t="s">
        <v>154</v>
      </c>
      <c r="I4" s="21"/>
    </row>
    <row r="5">
      <c r="A5" s="77" t="s">
        <v>156</v>
      </c>
      <c r="B5" s="78" t="s">
        <v>67</v>
      </c>
      <c r="C5" s="79">
        <v>168.0</v>
      </c>
      <c r="D5" s="78" t="s">
        <v>153</v>
      </c>
      <c r="E5" s="78">
        <v>1.0</v>
      </c>
      <c r="F5" s="78" t="s">
        <v>12</v>
      </c>
      <c r="G5" s="21"/>
      <c r="H5" s="78" t="s">
        <v>154</v>
      </c>
      <c r="I5" s="21"/>
    </row>
    <row r="6">
      <c r="A6" s="7" t="s">
        <v>157</v>
      </c>
      <c r="B6" s="78" t="s">
        <v>67</v>
      </c>
      <c r="C6" s="7">
        <v>380.0</v>
      </c>
      <c r="D6" s="78" t="s">
        <v>153</v>
      </c>
      <c r="E6" s="78">
        <v>1.0</v>
      </c>
      <c r="F6" s="78" t="s">
        <v>12</v>
      </c>
      <c r="G6" s="21"/>
      <c r="H6" s="78" t="s">
        <v>154</v>
      </c>
      <c r="I6" s="21"/>
    </row>
    <row r="7">
      <c r="A7" s="7" t="s">
        <v>158</v>
      </c>
      <c r="B7" s="78" t="s">
        <v>67</v>
      </c>
      <c r="C7" s="7">
        <v>690.0</v>
      </c>
      <c r="D7" s="78" t="s">
        <v>153</v>
      </c>
      <c r="E7" s="78">
        <v>1.0</v>
      </c>
      <c r="F7" s="78" t="s">
        <v>12</v>
      </c>
      <c r="G7" s="21"/>
      <c r="H7" s="78" t="s">
        <v>154</v>
      </c>
      <c r="I7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0"/>
    <col customWidth="1" min="10" max="11" width="18.88"/>
  </cols>
  <sheetData>
    <row r="1">
      <c r="A1" s="90" t="s">
        <v>126</v>
      </c>
      <c r="B1" s="75"/>
      <c r="C1" s="76"/>
      <c r="D1" s="92" t="s">
        <v>159</v>
      </c>
      <c r="E1" s="75"/>
      <c r="F1" s="75"/>
      <c r="G1" s="75"/>
      <c r="H1" s="75"/>
      <c r="I1" s="76"/>
      <c r="J1" s="95" t="s">
        <v>160</v>
      </c>
      <c r="K1" s="76"/>
      <c r="L1" s="96"/>
      <c r="M1" s="96" t="s">
        <v>161</v>
      </c>
    </row>
    <row r="2">
      <c r="A2" s="97" t="s">
        <v>121</v>
      </c>
      <c r="B2" s="97" t="s">
        <v>122</v>
      </c>
      <c r="C2" s="97" t="s">
        <v>162</v>
      </c>
      <c r="D2" s="97" t="s">
        <v>121</v>
      </c>
      <c r="E2" s="97" t="s">
        <v>122</v>
      </c>
      <c r="F2" s="97" t="s">
        <v>163</v>
      </c>
      <c r="G2" s="97" t="s">
        <v>121</v>
      </c>
      <c r="H2" s="97" t="s">
        <v>122</v>
      </c>
      <c r="I2" s="97" t="s">
        <v>164</v>
      </c>
      <c r="J2" s="97" t="s">
        <v>165</v>
      </c>
      <c r="K2" s="98" t="s">
        <v>166</v>
      </c>
      <c r="L2" s="96"/>
      <c r="M2" s="101">
        <f>F3+I3+J3+K3</f>
        <v>41548</v>
      </c>
    </row>
    <row r="3">
      <c r="A3" s="97" t="s">
        <v>167</v>
      </c>
      <c r="B3" s="97">
        <v>45000.0</v>
      </c>
      <c r="C3" s="102">
        <f>SUM(B3:B4)</f>
        <v>50000</v>
      </c>
      <c r="D3" s="97" t="s">
        <v>152</v>
      </c>
      <c r="E3" s="97">
        <v>2500.0</v>
      </c>
      <c r="F3" s="103">
        <f>SUM(E1:E18)</f>
        <v>8248</v>
      </c>
      <c r="G3" s="97" t="s">
        <v>168</v>
      </c>
      <c r="H3" s="97">
        <v>600.0</v>
      </c>
      <c r="I3" s="103">
        <f>SUM(H3:H18)</f>
        <v>13000</v>
      </c>
      <c r="J3" s="104">
        <v>17000.0</v>
      </c>
      <c r="K3" s="104">
        <v>3300.0</v>
      </c>
      <c r="L3" s="96"/>
      <c r="M3" s="96"/>
    </row>
    <row r="4">
      <c r="A4" s="97" t="s">
        <v>169</v>
      </c>
      <c r="B4" s="97">
        <v>5000.0</v>
      </c>
      <c r="C4" s="105"/>
      <c r="D4" s="97" t="s">
        <v>90</v>
      </c>
      <c r="E4" s="97">
        <v>600.0</v>
      </c>
      <c r="F4" s="105"/>
      <c r="G4" s="97" t="s">
        <v>170</v>
      </c>
      <c r="H4" s="97">
        <v>300.0</v>
      </c>
      <c r="I4" s="105"/>
      <c r="J4" s="105"/>
      <c r="K4" s="105"/>
      <c r="L4" s="96"/>
      <c r="M4" s="96"/>
    </row>
    <row r="5">
      <c r="A5" s="105"/>
      <c r="B5" s="105"/>
      <c r="C5" s="105"/>
      <c r="D5" s="97" t="s">
        <v>155</v>
      </c>
      <c r="E5" s="97">
        <v>600.0</v>
      </c>
      <c r="F5" s="105"/>
      <c r="G5" s="97" t="s">
        <v>171</v>
      </c>
      <c r="H5" s="97">
        <v>10000.0</v>
      </c>
      <c r="I5" s="105"/>
      <c r="J5" s="105"/>
      <c r="K5" s="105"/>
      <c r="L5" s="96"/>
      <c r="M5" s="96"/>
    </row>
    <row r="6">
      <c r="A6" s="105"/>
      <c r="B6" s="105"/>
      <c r="C6" s="105"/>
      <c r="D6" s="97" t="s">
        <v>156</v>
      </c>
      <c r="E6" s="97">
        <v>168.0</v>
      </c>
      <c r="F6" s="105"/>
      <c r="G6" s="97" t="s">
        <v>172</v>
      </c>
      <c r="H6" s="97">
        <v>600.0</v>
      </c>
      <c r="I6" s="105"/>
      <c r="J6" s="105"/>
      <c r="K6" s="105"/>
      <c r="L6" s="96"/>
      <c r="M6" s="96"/>
    </row>
    <row r="7">
      <c r="A7" s="105"/>
      <c r="B7" s="105"/>
      <c r="C7" s="105"/>
      <c r="D7" s="97" t="s">
        <v>173</v>
      </c>
      <c r="E7" s="97">
        <v>600.0</v>
      </c>
      <c r="F7" s="105"/>
      <c r="G7" s="97" t="s">
        <v>174</v>
      </c>
      <c r="H7" s="97">
        <v>1500.0</v>
      </c>
      <c r="I7" s="105"/>
      <c r="J7" s="105"/>
      <c r="K7" s="105"/>
      <c r="L7" s="96"/>
      <c r="M7" s="96"/>
    </row>
    <row r="8">
      <c r="A8" s="105"/>
      <c r="B8" s="105"/>
      <c r="C8" s="105"/>
      <c r="D8" s="97" t="s">
        <v>175</v>
      </c>
      <c r="E8" s="97">
        <v>3400.0</v>
      </c>
      <c r="F8" s="105"/>
      <c r="G8" s="105"/>
      <c r="H8" s="105"/>
      <c r="I8" s="105"/>
      <c r="J8" s="105"/>
      <c r="K8" s="105"/>
      <c r="L8" s="96"/>
      <c r="M8" s="96"/>
    </row>
    <row r="9">
      <c r="A9" s="105"/>
      <c r="B9" s="105"/>
      <c r="C9" s="105"/>
      <c r="D9" s="97" t="s">
        <v>176</v>
      </c>
      <c r="E9" s="97">
        <v>380.0</v>
      </c>
      <c r="F9" s="105"/>
      <c r="G9" s="105"/>
      <c r="H9" s="105"/>
      <c r="I9" s="105"/>
      <c r="J9" s="105"/>
      <c r="K9" s="105"/>
      <c r="L9" s="96"/>
      <c r="M9" s="96"/>
    </row>
    <row r="10">
      <c r="A10" s="105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96"/>
      <c r="M10" s="96"/>
    </row>
    <row r="11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96"/>
      <c r="M11" s="96"/>
    </row>
    <row r="12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96"/>
      <c r="M12" s="96"/>
    </row>
    <row r="13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96"/>
      <c r="M13" s="96"/>
    </row>
    <row r="14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96"/>
      <c r="M14" s="96"/>
    </row>
    <row r="1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96"/>
      <c r="M15" s="96"/>
    </row>
    <row r="16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96"/>
      <c r="M16" s="96"/>
    </row>
    <row r="17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96"/>
      <c r="M17" s="96"/>
    </row>
    <row r="18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96"/>
      <c r="M18" s="96"/>
    </row>
    <row r="19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</row>
    <row r="20">
      <c r="A20" s="96"/>
      <c r="B20" s="96"/>
      <c r="C20" s="109" t="s">
        <v>177</v>
      </c>
      <c r="D20" s="76"/>
      <c r="E20" s="96"/>
      <c r="F20" s="96"/>
      <c r="G20" s="96"/>
      <c r="H20" s="96"/>
      <c r="I20" s="96"/>
      <c r="J20" s="96"/>
      <c r="K20" s="96"/>
      <c r="L20" s="96"/>
      <c r="M20" s="96"/>
    </row>
    <row r="21">
      <c r="A21" s="96"/>
      <c r="B21" s="96"/>
      <c r="C21" s="113">
        <f>C3-M2</f>
        <v>8452</v>
      </c>
      <c r="D21" s="76"/>
      <c r="E21" s="96"/>
      <c r="F21" s="96"/>
      <c r="G21" s="96"/>
      <c r="H21" s="96"/>
      <c r="I21" s="96"/>
      <c r="J21" s="96"/>
      <c r="K21" s="96"/>
      <c r="L21" s="96"/>
      <c r="M21" s="96"/>
    </row>
    <row r="22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</row>
    <row r="23">
      <c r="A23" s="114" t="s">
        <v>178</v>
      </c>
      <c r="B23" s="7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</row>
    <row r="24">
      <c r="A24" s="115"/>
      <c r="B24" s="7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</row>
    <row r="25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</row>
  </sheetData>
  <mergeCells count="7">
    <mergeCell ref="A1:C1"/>
    <mergeCell ref="D1:I1"/>
    <mergeCell ref="J1:K1"/>
    <mergeCell ref="C20:D20"/>
    <mergeCell ref="C21:D21"/>
    <mergeCell ref="A23:B23"/>
    <mergeCell ref="A24:B24"/>
  </mergeCells>
  <drawing r:id="rId1"/>
</worksheet>
</file>